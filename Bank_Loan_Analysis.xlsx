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Intel\Downloads\"/>
    </mc:Choice>
  </mc:AlternateContent>
  <xr:revisionPtr revIDLastSave="0" documentId="13_ncr:1_{2E193BF8-7194-4EBB-81D2-3E91150BE960}" xr6:coauthVersionLast="47" xr6:coauthVersionMax="47" xr10:uidLastSave="{00000000-0000-0000-0000-000000000000}"/>
  <bookViews>
    <workbookView xWindow="-108" yWindow="-108" windowWidth="23256" windowHeight="12576" activeTab="2" xr2:uid="{00000000-000D-0000-FFFF-FFFF00000000}"/>
  </bookViews>
  <sheets>
    <sheet name="Loan_Data" sheetId="1" r:id="rId1"/>
    <sheet name="Pivot_Tables" sheetId="5" r:id="rId2"/>
    <sheet name="Dashboard" sheetId="6" r:id="rId3"/>
  </sheets>
  <definedNames>
    <definedName name="_xlnm._FilterDatabase" localSheetId="0" hidden="1">Loan_Data!$A$1:$L$351</definedName>
    <definedName name="Slicer_Branch">#N/A</definedName>
    <definedName name="Slicer_Risk_Rating">#N/A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0" i="1" l="1"/>
  <c r="R26" i="1"/>
  <c r="R22" i="1"/>
  <c r="R18" i="1"/>
  <c r="R17" i="1"/>
  <c r="R16" i="1"/>
  <c r="R14" i="1"/>
  <c r="R13" i="1"/>
  <c r="R12" i="1"/>
  <c r="R9" i="1"/>
  <c r="R7" i="1"/>
  <c r="R6" i="1"/>
  <c r="O24" i="1"/>
  <c r="O23" i="1" a="1"/>
  <c r="O23" i="1" s="1"/>
  <c r="O20" i="1"/>
  <c r="O17" i="1"/>
  <c r="O16" i="1"/>
  <c r="O15" i="1"/>
  <c r="O13" i="1"/>
  <c r="O12" i="1"/>
  <c r="O9" i="1"/>
  <c r="O7" i="1"/>
  <c r="O5" i="1"/>
  <c r="P303" i="1"/>
  <c r="P294" i="1"/>
  <c r="P293" i="1"/>
  <c r="P292" i="1"/>
  <c r="P290" i="1"/>
  <c r="P287" i="1"/>
  <c r="P29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<sst xmlns="http://schemas.openxmlformats.org/spreadsheetml/2006/main" count="2905" uniqueCount="777">
  <si>
    <t>Loan_ID</t>
  </si>
  <si>
    <t>Customer_ID</t>
  </si>
  <si>
    <t>Customer_Name</t>
  </si>
  <si>
    <t>Branch</t>
  </si>
  <si>
    <t>Loan_Type</t>
  </si>
  <si>
    <t>Loan_Amount_LKR</t>
  </si>
  <si>
    <t>Interest_Rate_%</t>
  </si>
  <si>
    <t>Loan_Date</t>
  </si>
  <si>
    <t>Status</t>
  </si>
  <si>
    <t>Risk_Rating</t>
  </si>
  <si>
    <t>Loan_Officer</t>
  </si>
  <si>
    <t>Monthly_Income_LKR</t>
  </si>
  <si>
    <t>LN0001</t>
  </si>
  <si>
    <t>C0001</t>
  </si>
  <si>
    <t>Kumari</t>
  </si>
  <si>
    <t>Negombo</t>
  </si>
  <si>
    <t>Vehicle</t>
  </si>
  <si>
    <t>Overdue</t>
  </si>
  <si>
    <t>Medium</t>
  </si>
  <si>
    <t>Dinesh</t>
  </si>
  <si>
    <t>LN0002</t>
  </si>
  <si>
    <t>C0002</t>
  </si>
  <si>
    <t>Hasini</t>
  </si>
  <si>
    <t>Jaffna</t>
  </si>
  <si>
    <t>Education</t>
  </si>
  <si>
    <t>High</t>
  </si>
  <si>
    <t>Ravi</t>
  </si>
  <si>
    <t>LN0003</t>
  </si>
  <si>
    <t>C0003</t>
  </si>
  <si>
    <t>Kasun</t>
  </si>
  <si>
    <t>Galle</t>
  </si>
  <si>
    <t>Home</t>
  </si>
  <si>
    <t>Low</t>
  </si>
  <si>
    <t>Amal</t>
  </si>
  <si>
    <t>LN0004</t>
  </si>
  <si>
    <t>C0004</t>
  </si>
  <si>
    <t>Madhavi</t>
  </si>
  <si>
    <t>Matara</t>
  </si>
  <si>
    <t>Business</t>
  </si>
  <si>
    <t>Active</t>
  </si>
  <si>
    <t>LN0005</t>
  </si>
  <si>
    <t>C0005</t>
  </si>
  <si>
    <t>Kamal</t>
  </si>
  <si>
    <t>Kandy</t>
  </si>
  <si>
    <t>Paid</t>
  </si>
  <si>
    <t>LN0006</t>
  </si>
  <si>
    <t>C0006</t>
  </si>
  <si>
    <t>Nadeesha</t>
  </si>
  <si>
    <t>Kurunegala</t>
  </si>
  <si>
    <t>LN0007</t>
  </si>
  <si>
    <t>C0007</t>
  </si>
  <si>
    <t>Dinuka</t>
  </si>
  <si>
    <t>Personal</t>
  </si>
  <si>
    <t>LN0008</t>
  </si>
  <si>
    <t>C0008</t>
  </si>
  <si>
    <t>Ishara</t>
  </si>
  <si>
    <t>Tharushi</t>
  </si>
  <si>
    <t>LN0009</t>
  </si>
  <si>
    <t>C0009</t>
  </si>
  <si>
    <t>Ruwan</t>
  </si>
  <si>
    <t>Colombo</t>
  </si>
  <si>
    <t>Nisha</t>
  </si>
  <si>
    <t>LN0010</t>
  </si>
  <si>
    <t>C0010</t>
  </si>
  <si>
    <t>Saman</t>
  </si>
  <si>
    <t>LN0011</t>
  </si>
  <si>
    <t>C0011</t>
  </si>
  <si>
    <t>Sachini</t>
  </si>
  <si>
    <t>LN0012</t>
  </si>
  <si>
    <t>C0012</t>
  </si>
  <si>
    <t>Ravindu</t>
  </si>
  <si>
    <t>LN0013</t>
  </si>
  <si>
    <t>C0013</t>
  </si>
  <si>
    <t>Pavani</t>
  </si>
  <si>
    <t>LN0014</t>
  </si>
  <si>
    <t>C0014</t>
  </si>
  <si>
    <t>Chathura</t>
  </si>
  <si>
    <t>LN0015</t>
  </si>
  <si>
    <t>C0015</t>
  </si>
  <si>
    <t>Sunil</t>
  </si>
  <si>
    <t>LN0016</t>
  </si>
  <si>
    <t>C0016</t>
  </si>
  <si>
    <t>Malith</t>
  </si>
  <si>
    <t>LN0017</t>
  </si>
  <si>
    <t>C0017</t>
  </si>
  <si>
    <t>Sewmi</t>
  </si>
  <si>
    <t>LN0018</t>
  </si>
  <si>
    <t>C0018</t>
  </si>
  <si>
    <t>Dilan</t>
  </si>
  <si>
    <t>LN0019</t>
  </si>
  <si>
    <t>C0019</t>
  </si>
  <si>
    <t>Nimal</t>
  </si>
  <si>
    <t>LN0020</t>
  </si>
  <si>
    <t>C0020</t>
  </si>
  <si>
    <t>LN0021</t>
  </si>
  <si>
    <t>C0021</t>
  </si>
  <si>
    <t>LN0022</t>
  </si>
  <si>
    <t>C0022</t>
  </si>
  <si>
    <t>LN0023</t>
  </si>
  <si>
    <t>C0023</t>
  </si>
  <si>
    <t>LN0024</t>
  </si>
  <si>
    <t>C0024</t>
  </si>
  <si>
    <t>LN0025</t>
  </si>
  <si>
    <t>C0025</t>
  </si>
  <si>
    <t>Tharindu</t>
  </si>
  <si>
    <t>LN0026</t>
  </si>
  <si>
    <t>C0026</t>
  </si>
  <si>
    <t>Piumi</t>
  </si>
  <si>
    <t>LN0027</t>
  </si>
  <si>
    <t>C0027</t>
  </si>
  <si>
    <t>Chamath</t>
  </si>
  <si>
    <t>LN0028</t>
  </si>
  <si>
    <t>C0028</t>
  </si>
  <si>
    <t>Shalini</t>
  </si>
  <si>
    <t>LN0029</t>
  </si>
  <si>
    <t>C0029</t>
  </si>
  <si>
    <t>Amara</t>
  </si>
  <si>
    <t>LN0030</t>
  </si>
  <si>
    <t>C0030</t>
  </si>
  <si>
    <t>LN0031</t>
  </si>
  <si>
    <t>C0031</t>
  </si>
  <si>
    <t>LN0032</t>
  </si>
  <si>
    <t>C0032</t>
  </si>
  <si>
    <t>LN0033</t>
  </si>
  <si>
    <t>C0033</t>
  </si>
  <si>
    <t>LN0034</t>
  </si>
  <si>
    <t>C0034</t>
  </si>
  <si>
    <t>LN0035</t>
  </si>
  <si>
    <t>C0035</t>
  </si>
  <si>
    <t>LN0036</t>
  </si>
  <si>
    <t>C0036</t>
  </si>
  <si>
    <t>LN0037</t>
  </si>
  <si>
    <t>C0037</t>
  </si>
  <si>
    <t>LN0038</t>
  </si>
  <si>
    <t>C0038</t>
  </si>
  <si>
    <t>LN0039</t>
  </si>
  <si>
    <t>C0039</t>
  </si>
  <si>
    <t>LN0040</t>
  </si>
  <si>
    <t>C0040</t>
  </si>
  <si>
    <t>LN0041</t>
  </si>
  <si>
    <t>C0041</t>
  </si>
  <si>
    <t>LN0042</t>
  </si>
  <si>
    <t>C0042</t>
  </si>
  <si>
    <t>LN0043</t>
  </si>
  <si>
    <t>C0043</t>
  </si>
  <si>
    <t>LN0044</t>
  </si>
  <si>
    <t>C0044</t>
  </si>
  <si>
    <t>LN0045</t>
  </si>
  <si>
    <t>C0045</t>
  </si>
  <si>
    <t>LN0046</t>
  </si>
  <si>
    <t>C0046</t>
  </si>
  <si>
    <t>LN0047</t>
  </si>
  <si>
    <t>C0047</t>
  </si>
  <si>
    <t>LN0048</t>
  </si>
  <si>
    <t>C0048</t>
  </si>
  <si>
    <t>LN0049</t>
  </si>
  <si>
    <t>C0049</t>
  </si>
  <si>
    <t>LN0050</t>
  </si>
  <si>
    <t>C0050</t>
  </si>
  <si>
    <t>LN0051</t>
  </si>
  <si>
    <t>C0051</t>
  </si>
  <si>
    <t>LN0052</t>
  </si>
  <si>
    <t>C0052</t>
  </si>
  <si>
    <t>LN0053</t>
  </si>
  <si>
    <t>C0053</t>
  </si>
  <si>
    <t>LN0054</t>
  </si>
  <si>
    <t>C0054</t>
  </si>
  <si>
    <t>LN0055</t>
  </si>
  <si>
    <t>C0055</t>
  </si>
  <si>
    <t>LN0056</t>
  </si>
  <si>
    <t>C0056</t>
  </si>
  <si>
    <t>LN0057</t>
  </si>
  <si>
    <t>C0057</t>
  </si>
  <si>
    <t>LN0058</t>
  </si>
  <si>
    <t>C0058</t>
  </si>
  <si>
    <t>LN0059</t>
  </si>
  <si>
    <t>C0059</t>
  </si>
  <si>
    <t>LN0060</t>
  </si>
  <si>
    <t>C0060</t>
  </si>
  <si>
    <t>LN0061</t>
  </si>
  <si>
    <t>C0061</t>
  </si>
  <si>
    <t>LN0062</t>
  </si>
  <si>
    <t>C0062</t>
  </si>
  <si>
    <t>LN0063</t>
  </si>
  <si>
    <t>C0063</t>
  </si>
  <si>
    <t>LN0064</t>
  </si>
  <si>
    <t>C0064</t>
  </si>
  <si>
    <t>LN0065</t>
  </si>
  <si>
    <t>C0065</t>
  </si>
  <si>
    <t>LN0066</t>
  </si>
  <si>
    <t>C0066</t>
  </si>
  <si>
    <t>LN0067</t>
  </si>
  <si>
    <t>C0067</t>
  </si>
  <si>
    <t>LN0068</t>
  </si>
  <si>
    <t>C0068</t>
  </si>
  <si>
    <t>LN0069</t>
  </si>
  <si>
    <t>C0069</t>
  </si>
  <si>
    <t>LN0070</t>
  </si>
  <si>
    <t>C0070</t>
  </si>
  <si>
    <t>LN0071</t>
  </si>
  <si>
    <t>C0071</t>
  </si>
  <si>
    <t>LN0072</t>
  </si>
  <si>
    <t>C0072</t>
  </si>
  <si>
    <t>LN0073</t>
  </si>
  <si>
    <t>C0073</t>
  </si>
  <si>
    <t>LN0074</t>
  </si>
  <si>
    <t>C0074</t>
  </si>
  <si>
    <t>LN0075</t>
  </si>
  <si>
    <t>C0075</t>
  </si>
  <si>
    <t>LN0076</t>
  </si>
  <si>
    <t>C0076</t>
  </si>
  <si>
    <t>LN0077</t>
  </si>
  <si>
    <t>C0077</t>
  </si>
  <si>
    <t>LN0078</t>
  </si>
  <si>
    <t>C0078</t>
  </si>
  <si>
    <t>LN0079</t>
  </si>
  <si>
    <t>C0079</t>
  </si>
  <si>
    <t>LN0080</t>
  </si>
  <si>
    <t>C0080</t>
  </si>
  <si>
    <t>LN0081</t>
  </si>
  <si>
    <t>C0081</t>
  </si>
  <si>
    <t>LN0082</t>
  </si>
  <si>
    <t>C0082</t>
  </si>
  <si>
    <t>LN0083</t>
  </si>
  <si>
    <t>C0083</t>
  </si>
  <si>
    <t>LN0084</t>
  </si>
  <si>
    <t>C0084</t>
  </si>
  <si>
    <t>LN0085</t>
  </si>
  <si>
    <t>C0085</t>
  </si>
  <si>
    <t>LN0086</t>
  </si>
  <si>
    <t>C0086</t>
  </si>
  <si>
    <t>LN0087</t>
  </si>
  <si>
    <t>C0087</t>
  </si>
  <si>
    <t>LN0088</t>
  </si>
  <si>
    <t>C0088</t>
  </si>
  <si>
    <t>LN0089</t>
  </si>
  <si>
    <t>C0089</t>
  </si>
  <si>
    <t>LN0090</t>
  </si>
  <si>
    <t>C0090</t>
  </si>
  <si>
    <t>LN0091</t>
  </si>
  <si>
    <t>C0091</t>
  </si>
  <si>
    <t>LN0092</t>
  </si>
  <si>
    <t>C0092</t>
  </si>
  <si>
    <t>LN0093</t>
  </si>
  <si>
    <t>C0093</t>
  </si>
  <si>
    <t>LN0094</t>
  </si>
  <si>
    <t>C0094</t>
  </si>
  <si>
    <t>LN0095</t>
  </si>
  <si>
    <t>C0095</t>
  </si>
  <si>
    <t>LN0096</t>
  </si>
  <si>
    <t>C0096</t>
  </si>
  <si>
    <t>LN0097</t>
  </si>
  <si>
    <t>C0097</t>
  </si>
  <si>
    <t>LN0098</t>
  </si>
  <si>
    <t>C0098</t>
  </si>
  <si>
    <t>LN0099</t>
  </si>
  <si>
    <t>C0099</t>
  </si>
  <si>
    <t>LN0100</t>
  </si>
  <si>
    <t>C0100</t>
  </si>
  <si>
    <t>LN0101</t>
  </si>
  <si>
    <t>C0101</t>
  </si>
  <si>
    <t>LN0102</t>
  </si>
  <si>
    <t>C0102</t>
  </si>
  <si>
    <t>LN0103</t>
  </si>
  <si>
    <t>C0103</t>
  </si>
  <si>
    <t>LN0104</t>
  </si>
  <si>
    <t>C0104</t>
  </si>
  <si>
    <t>LN0105</t>
  </si>
  <si>
    <t>C0105</t>
  </si>
  <si>
    <t>LN0106</t>
  </si>
  <si>
    <t>C0106</t>
  </si>
  <si>
    <t>LN0107</t>
  </si>
  <si>
    <t>C0107</t>
  </si>
  <si>
    <t>LN0108</t>
  </si>
  <si>
    <t>C0108</t>
  </si>
  <si>
    <t>LN0109</t>
  </si>
  <si>
    <t>C0109</t>
  </si>
  <si>
    <t>LN0110</t>
  </si>
  <si>
    <t>C0110</t>
  </si>
  <si>
    <t>LN0111</t>
  </si>
  <si>
    <t>C0111</t>
  </si>
  <si>
    <t>LN0112</t>
  </si>
  <si>
    <t>C0112</t>
  </si>
  <si>
    <t>LN0113</t>
  </si>
  <si>
    <t>C0113</t>
  </si>
  <si>
    <t>LN0114</t>
  </si>
  <si>
    <t>C0114</t>
  </si>
  <si>
    <t>LN0115</t>
  </si>
  <si>
    <t>C0115</t>
  </si>
  <si>
    <t>LN0116</t>
  </si>
  <si>
    <t>C0116</t>
  </si>
  <si>
    <t>LN0117</t>
  </si>
  <si>
    <t>C0117</t>
  </si>
  <si>
    <t>LN0118</t>
  </si>
  <si>
    <t>C0118</t>
  </si>
  <si>
    <t>LN0119</t>
  </si>
  <si>
    <t>C0119</t>
  </si>
  <si>
    <t>LN0120</t>
  </si>
  <si>
    <t>C0120</t>
  </si>
  <si>
    <t>LN0121</t>
  </si>
  <si>
    <t>C0121</t>
  </si>
  <si>
    <t>LN0122</t>
  </si>
  <si>
    <t>C0122</t>
  </si>
  <si>
    <t>LN0123</t>
  </si>
  <si>
    <t>C0123</t>
  </si>
  <si>
    <t>LN0124</t>
  </si>
  <si>
    <t>C0124</t>
  </si>
  <si>
    <t>LN0125</t>
  </si>
  <si>
    <t>C0125</t>
  </si>
  <si>
    <t>LN0126</t>
  </si>
  <si>
    <t>C0126</t>
  </si>
  <si>
    <t>LN0127</t>
  </si>
  <si>
    <t>C0127</t>
  </si>
  <si>
    <t>LN0128</t>
  </si>
  <si>
    <t>C0128</t>
  </si>
  <si>
    <t>LN0129</t>
  </si>
  <si>
    <t>C0129</t>
  </si>
  <si>
    <t>LN0130</t>
  </si>
  <si>
    <t>C0130</t>
  </si>
  <si>
    <t>LN0131</t>
  </si>
  <si>
    <t>C0131</t>
  </si>
  <si>
    <t>LN0132</t>
  </si>
  <si>
    <t>C0132</t>
  </si>
  <si>
    <t>LN0133</t>
  </si>
  <si>
    <t>C0133</t>
  </si>
  <si>
    <t>LN0134</t>
  </si>
  <si>
    <t>C0134</t>
  </si>
  <si>
    <t>LN0135</t>
  </si>
  <si>
    <t>C0135</t>
  </si>
  <si>
    <t>LN0136</t>
  </si>
  <si>
    <t>C0136</t>
  </si>
  <si>
    <t>LN0137</t>
  </si>
  <si>
    <t>C0137</t>
  </si>
  <si>
    <t>LN0138</t>
  </si>
  <si>
    <t>C0138</t>
  </si>
  <si>
    <t>LN0139</t>
  </si>
  <si>
    <t>C0139</t>
  </si>
  <si>
    <t>LN0140</t>
  </si>
  <si>
    <t>C0140</t>
  </si>
  <si>
    <t>LN0141</t>
  </si>
  <si>
    <t>C0141</t>
  </si>
  <si>
    <t>LN0142</t>
  </si>
  <si>
    <t>C0142</t>
  </si>
  <si>
    <t>LN0143</t>
  </si>
  <si>
    <t>C0143</t>
  </si>
  <si>
    <t>LN0144</t>
  </si>
  <si>
    <t>C0144</t>
  </si>
  <si>
    <t>LN0145</t>
  </si>
  <si>
    <t>C0145</t>
  </si>
  <si>
    <t>LN0146</t>
  </si>
  <si>
    <t>C0146</t>
  </si>
  <si>
    <t>LN0147</t>
  </si>
  <si>
    <t>C0147</t>
  </si>
  <si>
    <t>LN0148</t>
  </si>
  <si>
    <t>C0148</t>
  </si>
  <si>
    <t>LN0149</t>
  </si>
  <si>
    <t>C0149</t>
  </si>
  <si>
    <t>LN0150</t>
  </si>
  <si>
    <t>C0150</t>
  </si>
  <si>
    <t>LN0151</t>
  </si>
  <si>
    <t>C0151</t>
  </si>
  <si>
    <t>LN0152</t>
  </si>
  <si>
    <t>C0152</t>
  </si>
  <si>
    <t>LN0153</t>
  </si>
  <si>
    <t>C0153</t>
  </si>
  <si>
    <t>LN0154</t>
  </si>
  <si>
    <t>C0154</t>
  </si>
  <si>
    <t>LN0155</t>
  </si>
  <si>
    <t>C0155</t>
  </si>
  <si>
    <t>LN0156</t>
  </si>
  <si>
    <t>C0156</t>
  </si>
  <si>
    <t>LN0157</t>
  </si>
  <si>
    <t>C0157</t>
  </si>
  <si>
    <t>LN0158</t>
  </si>
  <si>
    <t>C0158</t>
  </si>
  <si>
    <t>LN0159</t>
  </si>
  <si>
    <t>C0159</t>
  </si>
  <si>
    <t>LN0160</t>
  </si>
  <si>
    <t>C0160</t>
  </si>
  <si>
    <t>LN0161</t>
  </si>
  <si>
    <t>C0161</t>
  </si>
  <si>
    <t>LN0162</t>
  </si>
  <si>
    <t>C0162</t>
  </si>
  <si>
    <t>LN0163</t>
  </si>
  <si>
    <t>C0163</t>
  </si>
  <si>
    <t>LN0164</t>
  </si>
  <si>
    <t>C0164</t>
  </si>
  <si>
    <t>LN0165</t>
  </si>
  <si>
    <t>C0165</t>
  </si>
  <si>
    <t>LN0166</t>
  </si>
  <si>
    <t>C0166</t>
  </si>
  <si>
    <t>LN0167</t>
  </si>
  <si>
    <t>C0167</t>
  </si>
  <si>
    <t>LN0168</t>
  </si>
  <si>
    <t>C0168</t>
  </si>
  <si>
    <t>LN0169</t>
  </si>
  <si>
    <t>C0169</t>
  </si>
  <si>
    <t>LN0170</t>
  </si>
  <si>
    <t>C0170</t>
  </si>
  <si>
    <t>LN0171</t>
  </si>
  <si>
    <t>C0171</t>
  </si>
  <si>
    <t>LN0172</t>
  </si>
  <si>
    <t>C0172</t>
  </si>
  <si>
    <t>LN0173</t>
  </si>
  <si>
    <t>C0173</t>
  </si>
  <si>
    <t>LN0174</t>
  </si>
  <si>
    <t>C0174</t>
  </si>
  <si>
    <t>LN0175</t>
  </si>
  <si>
    <t>C0175</t>
  </si>
  <si>
    <t>LN0176</t>
  </si>
  <si>
    <t>C0176</t>
  </si>
  <si>
    <t>LN0177</t>
  </si>
  <si>
    <t>C0177</t>
  </si>
  <si>
    <t>LN0178</t>
  </si>
  <si>
    <t>C0178</t>
  </si>
  <si>
    <t>LN0179</t>
  </si>
  <si>
    <t>C0179</t>
  </si>
  <si>
    <t>LN0180</t>
  </si>
  <si>
    <t>C0180</t>
  </si>
  <si>
    <t>LN0181</t>
  </si>
  <si>
    <t>C0181</t>
  </si>
  <si>
    <t>LN0182</t>
  </si>
  <si>
    <t>C0182</t>
  </si>
  <si>
    <t>LN0183</t>
  </si>
  <si>
    <t>C0183</t>
  </si>
  <si>
    <t>LN0184</t>
  </si>
  <si>
    <t>C0184</t>
  </si>
  <si>
    <t>LN0185</t>
  </si>
  <si>
    <t>C0185</t>
  </si>
  <si>
    <t>LN0186</t>
  </si>
  <si>
    <t>C0186</t>
  </si>
  <si>
    <t>LN0187</t>
  </si>
  <si>
    <t>C0187</t>
  </si>
  <si>
    <t>LN0188</t>
  </si>
  <si>
    <t>C0188</t>
  </si>
  <si>
    <t>LN0189</t>
  </si>
  <si>
    <t>C0189</t>
  </si>
  <si>
    <t>LN0190</t>
  </si>
  <si>
    <t>C0190</t>
  </si>
  <si>
    <t>LN0191</t>
  </si>
  <si>
    <t>C0191</t>
  </si>
  <si>
    <t>LN0192</t>
  </si>
  <si>
    <t>C0192</t>
  </si>
  <si>
    <t>LN0193</t>
  </si>
  <si>
    <t>C0193</t>
  </si>
  <si>
    <t>LN0194</t>
  </si>
  <si>
    <t>C0194</t>
  </si>
  <si>
    <t>LN0195</t>
  </si>
  <si>
    <t>C0195</t>
  </si>
  <si>
    <t>LN0196</t>
  </si>
  <si>
    <t>C0196</t>
  </si>
  <si>
    <t>LN0197</t>
  </si>
  <si>
    <t>C0197</t>
  </si>
  <si>
    <t>LN0198</t>
  </si>
  <si>
    <t>C0198</t>
  </si>
  <si>
    <t>LN0199</t>
  </si>
  <si>
    <t>C0199</t>
  </si>
  <si>
    <t>LN0200</t>
  </si>
  <si>
    <t>C0200</t>
  </si>
  <si>
    <t>LN0201</t>
  </si>
  <si>
    <t>C0201</t>
  </si>
  <si>
    <t>LN0202</t>
  </si>
  <si>
    <t>C0202</t>
  </si>
  <si>
    <t>LN0203</t>
  </si>
  <si>
    <t>C0203</t>
  </si>
  <si>
    <t>LN0204</t>
  </si>
  <si>
    <t>C0204</t>
  </si>
  <si>
    <t>LN0205</t>
  </si>
  <si>
    <t>C0205</t>
  </si>
  <si>
    <t>LN0206</t>
  </si>
  <si>
    <t>C0206</t>
  </si>
  <si>
    <t>LN0207</t>
  </si>
  <si>
    <t>C0207</t>
  </si>
  <si>
    <t>LN0208</t>
  </si>
  <si>
    <t>C0208</t>
  </si>
  <si>
    <t>LN0209</t>
  </si>
  <si>
    <t>C0209</t>
  </si>
  <si>
    <t>LN0210</t>
  </si>
  <si>
    <t>C0210</t>
  </si>
  <si>
    <t>LN0211</t>
  </si>
  <si>
    <t>C0211</t>
  </si>
  <si>
    <t>LN0212</t>
  </si>
  <si>
    <t>C0212</t>
  </si>
  <si>
    <t>LN0213</t>
  </si>
  <si>
    <t>C0213</t>
  </si>
  <si>
    <t>LN0214</t>
  </si>
  <si>
    <t>C0214</t>
  </si>
  <si>
    <t>LN0215</t>
  </si>
  <si>
    <t>C0215</t>
  </si>
  <si>
    <t>LN0216</t>
  </si>
  <si>
    <t>C0216</t>
  </si>
  <si>
    <t>LN0217</t>
  </si>
  <si>
    <t>C0217</t>
  </si>
  <si>
    <t>LN0218</t>
  </si>
  <si>
    <t>C0218</t>
  </si>
  <si>
    <t>LN0219</t>
  </si>
  <si>
    <t>C0219</t>
  </si>
  <si>
    <t>LN0220</t>
  </si>
  <si>
    <t>C0220</t>
  </si>
  <si>
    <t>LN0221</t>
  </si>
  <si>
    <t>C0221</t>
  </si>
  <si>
    <t>LN0222</t>
  </si>
  <si>
    <t>C0222</t>
  </si>
  <si>
    <t>LN0223</t>
  </si>
  <si>
    <t>C0223</t>
  </si>
  <si>
    <t>LN0224</t>
  </si>
  <si>
    <t>C0224</t>
  </si>
  <si>
    <t>LN0225</t>
  </si>
  <si>
    <t>C0225</t>
  </si>
  <si>
    <t>LN0226</t>
  </si>
  <si>
    <t>C0226</t>
  </si>
  <si>
    <t>LN0227</t>
  </si>
  <si>
    <t>C0227</t>
  </si>
  <si>
    <t>LN0228</t>
  </si>
  <si>
    <t>C0228</t>
  </si>
  <si>
    <t>LN0229</t>
  </si>
  <si>
    <t>C0229</t>
  </si>
  <si>
    <t>LN0230</t>
  </si>
  <si>
    <t>C0230</t>
  </si>
  <si>
    <t>LN0231</t>
  </si>
  <si>
    <t>C0231</t>
  </si>
  <si>
    <t>LN0232</t>
  </si>
  <si>
    <t>C0232</t>
  </si>
  <si>
    <t>LN0233</t>
  </si>
  <si>
    <t>C0233</t>
  </si>
  <si>
    <t>LN0234</t>
  </si>
  <si>
    <t>C0234</t>
  </si>
  <si>
    <t>LN0235</t>
  </si>
  <si>
    <t>C0235</t>
  </si>
  <si>
    <t>LN0236</t>
  </si>
  <si>
    <t>C0236</t>
  </si>
  <si>
    <t>LN0237</t>
  </si>
  <si>
    <t>C0237</t>
  </si>
  <si>
    <t>LN0238</t>
  </si>
  <si>
    <t>C0238</t>
  </si>
  <si>
    <t>LN0239</t>
  </si>
  <si>
    <t>C0239</t>
  </si>
  <si>
    <t>LN0240</t>
  </si>
  <si>
    <t>C0240</t>
  </si>
  <si>
    <t>LN0241</t>
  </si>
  <si>
    <t>C0241</t>
  </si>
  <si>
    <t>LN0242</t>
  </si>
  <si>
    <t>C0242</t>
  </si>
  <si>
    <t>LN0243</t>
  </si>
  <si>
    <t>C0243</t>
  </si>
  <si>
    <t>LN0244</t>
  </si>
  <si>
    <t>C0244</t>
  </si>
  <si>
    <t>LN0245</t>
  </si>
  <si>
    <t>C0245</t>
  </si>
  <si>
    <t>LN0246</t>
  </si>
  <si>
    <t>C0246</t>
  </si>
  <si>
    <t>LN0247</t>
  </si>
  <si>
    <t>C0247</t>
  </si>
  <si>
    <t>LN0248</t>
  </si>
  <si>
    <t>C0248</t>
  </si>
  <si>
    <t>LN0249</t>
  </si>
  <si>
    <t>C0249</t>
  </si>
  <si>
    <t>LN0250</t>
  </si>
  <si>
    <t>C0250</t>
  </si>
  <si>
    <t>LN0251</t>
  </si>
  <si>
    <t>C0251</t>
  </si>
  <si>
    <t>LN0252</t>
  </si>
  <si>
    <t>C0252</t>
  </si>
  <si>
    <t>LN0253</t>
  </si>
  <si>
    <t>C0253</t>
  </si>
  <si>
    <t>LN0254</t>
  </si>
  <si>
    <t>C0254</t>
  </si>
  <si>
    <t>LN0255</t>
  </si>
  <si>
    <t>C0255</t>
  </si>
  <si>
    <t>LN0256</t>
  </si>
  <si>
    <t>C0256</t>
  </si>
  <si>
    <t>LN0257</t>
  </si>
  <si>
    <t>C0257</t>
  </si>
  <si>
    <t>LN0258</t>
  </si>
  <si>
    <t>C0258</t>
  </si>
  <si>
    <t>LN0259</t>
  </si>
  <si>
    <t>C0259</t>
  </si>
  <si>
    <t>LN0260</t>
  </si>
  <si>
    <t>C0260</t>
  </si>
  <si>
    <t>LN0261</t>
  </si>
  <si>
    <t>C0261</t>
  </si>
  <si>
    <t>LN0262</t>
  </si>
  <si>
    <t>C0262</t>
  </si>
  <si>
    <t>LN0263</t>
  </si>
  <si>
    <t>C0263</t>
  </si>
  <si>
    <t>LN0264</t>
  </si>
  <si>
    <t>C0264</t>
  </si>
  <si>
    <t>LN0265</t>
  </si>
  <si>
    <t>C0265</t>
  </si>
  <si>
    <t>LN0266</t>
  </si>
  <si>
    <t>C0266</t>
  </si>
  <si>
    <t>LN0267</t>
  </si>
  <si>
    <t>C0267</t>
  </si>
  <si>
    <t>LN0268</t>
  </si>
  <si>
    <t>C0268</t>
  </si>
  <si>
    <t>LN0269</t>
  </si>
  <si>
    <t>C0269</t>
  </si>
  <si>
    <t>LN0270</t>
  </si>
  <si>
    <t>C0270</t>
  </si>
  <si>
    <t>LN0271</t>
  </si>
  <si>
    <t>C0271</t>
  </si>
  <si>
    <t>LN0272</t>
  </si>
  <si>
    <t>C0272</t>
  </si>
  <si>
    <t>LN0273</t>
  </si>
  <si>
    <t>C0273</t>
  </si>
  <si>
    <t>LN0274</t>
  </si>
  <si>
    <t>C0274</t>
  </si>
  <si>
    <t>LN0275</t>
  </si>
  <si>
    <t>C0275</t>
  </si>
  <si>
    <t>LN0276</t>
  </si>
  <si>
    <t>C0276</t>
  </si>
  <si>
    <t>LN0277</t>
  </si>
  <si>
    <t>C0277</t>
  </si>
  <si>
    <t>LN0278</t>
  </si>
  <si>
    <t>C0278</t>
  </si>
  <si>
    <t>LN0279</t>
  </si>
  <si>
    <t>C0279</t>
  </si>
  <si>
    <t>LN0280</t>
  </si>
  <si>
    <t>C0280</t>
  </si>
  <si>
    <t>LN0281</t>
  </si>
  <si>
    <t>C0281</t>
  </si>
  <si>
    <t>LN0282</t>
  </si>
  <si>
    <t>C0282</t>
  </si>
  <si>
    <t>LN0283</t>
  </si>
  <si>
    <t>C0283</t>
  </si>
  <si>
    <t>LN0284</t>
  </si>
  <si>
    <t>C0284</t>
  </si>
  <si>
    <t>LN0285</t>
  </si>
  <si>
    <t>C0285</t>
  </si>
  <si>
    <t>LN0286</t>
  </si>
  <si>
    <t>C0286</t>
  </si>
  <si>
    <t>LN0287</t>
  </si>
  <si>
    <t>C0287</t>
  </si>
  <si>
    <t>LN0288</t>
  </si>
  <si>
    <t>C0288</t>
  </si>
  <si>
    <t>LN0289</t>
  </si>
  <si>
    <t>C0289</t>
  </si>
  <si>
    <t>LN0290</t>
  </si>
  <si>
    <t>C0290</t>
  </si>
  <si>
    <t>LN0291</t>
  </si>
  <si>
    <t>C0291</t>
  </si>
  <si>
    <t>LN0292</t>
  </si>
  <si>
    <t>C0292</t>
  </si>
  <si>
    <t>LN0293</t>
  </si>
  <si>
    <t>C0293</t>
  </si>
  <si>
    <t>LN0294</t>
  </si>
  <si>
    <t>C0294</t>
  </si>
  <si>
    <t>LN0295</t>
  </si>
  <si>
    <t>C0295</t>
  </si>
  <si>
    <t>LN0296</t>
  </si>
  <si>
    <t>C0296</t>
  </si>
  <si>
    <t>LN0297</t>
  </si>
  <si>
    <t>C0297</t>
  </si>
  <si>
    <t>LN0298</t>
  </si>
  <si>
    <t>C0298</t>
  </si>
  <si>
    <t>LN0299</t>
  </si>
  <si>
    <t>C0299</t>
  </si>
  <si>
    <t>LN0300</t>
  </si>
  <si>
    <t>C0300</t>
  </si>
  <si>
    <t>LN0301</t>
  </si>
  <si>
    <t>C0301</t>
  </si>
  <si>
    <t>LN0302</t>
  </si>
  <si>
    <t>C0302</t>
  </si>
  <si>
    <t>LN0303</t>
  </si>
  <si>
    <t>C0303</t>
  </si>
  <si>
    <t>LN0304</t>
  </si>
  <si>
    <t>C0304</t>
  </si>
  <si>
    <t>LN0305</t>
  </si>
  <si>
    <t>C0305</t>
  </si>
  <si>
    <t>LN0306</t>
  </si>
  <si>
    <t>C0306</t>
  </si>
  <si>
    <t>LN0307</t>
  </si>
  <si>
    <t>C0307</t>
  </si>
  <si>
    <t>LN0308</t>
  </si>
  <si>
    <t>C0308</t>
  </si>
  <si>
    <t>LN0309</t>
  </si>
  <si>
    <t>C0309</t>
  </si>
  <si>
    <t>LN0310</t>
  </si>
  <si>
    <t>C0310</t>
  </si>
  <si>
    <t>LN0311</t>
  </si>
  <si>
    <t>C0311</t>
  </si>
  <si>
    <t>LN0312</t>
  </si>
  <si>
    <t>C0312</t>
  </si>
  <si>
    <t>LN0313</t>
  </si>
  <si>
    <t>C0313</t>
  </si>
  <si>
    <t>LN0314</t>
  </si>
  <si>
    <t>C0314</t>
  </si>
  <si>
    <t>LN0315</t>
  </si>
  <si>
    <t>C0315</t>
  </si>
  <si>
    <t>LN0316</t>
  </si>
  <si>
    <t>C0316</t>
  </si>
  <si>
    <t>LN0317</t>
  </si>
  <si>
    <t>C0317</t>
  </si>
  <si>
    <t>LN0318</t>
  </si>
  <si>
    <t>C0318</t>
  </si>
  <si>
    <t>LN0319</t>
  </si>
  <si>
    <t>C0319</t>
  </si>
  <si>
    <t>LN0320</t>
  </si>
  <si>
    <t>C0320</t>
  </si>
  <si>
    <t>LN0321</t>
  </si>
  <si>
    <t>C0321</t>
  </si>
  <si>
    <t>LN0322</t>
  </si>
  <si>
    <t>C0322</t>
  </si>
  <si>
    <t>LN0323</t>
  </si>
  <si>
    <t>C0323</t>
  </si>
  <si>
    <t>LN0324</t>
  </si>
  <si>
    <t>C0324</t>
  </si>
  <si>
    <t>LN0325</t>
  </si>
  <si>
    <t>C0325</t>
  </si>
  <si>
    <t>LN0326</t>
  </si>
  <si>
    <t>C0326</t>
  </si>
  <si>
    <t>LN0327</t>
  </si>
  <si>
    <t>C0327</t>
  </si>
  <si>
    <t>LN0328</t>
  </si>
  <si>
    <t>C0328</t>
  </si>
  <si>
    <t>LN0329</t>
  </si>
  <si>
    <t>C0329</t>
  </si>
  <si>
    <t>LN0330</t>
  </si>
  <si>
    <t>C0330</t>
  </si>
  <si>
    <t>LN0331</t>
  </si>
  <si>
    <t>C0331</t>
  </si>
  <si>
    <t>LN0332</t>
  </si>
  <si>
    <t>C0332</t>
  </si>
  <si>
    <t>LN0333</t>
  </si>
  <si>
    <t>C0333</t>
  </si>
  <si>
    <t>LN0334</t>
  </si>
  <si>
    <t>C0334</t>
  </si>
  <si>
    <t>LN0335</t>
  </si>
  <si>
    <t>C0335</t>
  </si>
  <si>
    <t>LN0336</t>
  </si>
  <si>
    <t>C0336</t>
  </si>
  <si>
    <t>LN0337</t>
  </si>
  <si>
    <t>C0337</t>
  </si>
  <si>
    <t>LN0338</t>
  </si>
  <si>
    <t>C0338</t>
  </si>
  <si>
    <t>LN0339</t>
  </si>
  <si>
    <t>C0339</t>
  </si>
  <si>
    <t>LN0340</t>
  </si>
  <si>
    <t>C0340</t>
  </si>
  <si>
    <t>LN0341</t>
  </si>
  <si>
    <t>C0341</t>
  </si>
  <si>
    <t>LN0342</t>
  </si>
  <si>
    <t>C0342</t>
  </si>
  <si>
    <t>LN0343</t>
  </si>
  <si>
    <t>C0343</t>
  </si>
  <si>
    <t>LN0344</t>
  </si>
  <si>
    <t>C0344</t>
  </si>
  <si>
    <t>LN0345</t>
  </si>
  <si>
    <t>C0345</t>
  </si>
  <si>
    <t>LN0346</t>
  </si>
  <si>
    <t>C0346</t>
  </si>
  <si>
    <t>LN0347</t>
  </si>
  <si>
    <t>C0347</t>
  </si>
  <si>
    <t>LN0348</t>
  </si>
  <si>
    <t>C0348</t>
  </si>
  <si>
    <t>LN0349</t>
  </si>
  <si>
    <t>C0349</t>
  </si>
  <si>
    <t>LN0350</t>
  </si>
  <si>
    <t>C0350</t>
  </si>
  <si>
    <t>Row Labels</t>
  </si>
  <si>
    <t>Grand Total</t>
  </si>
  <si>
    <t>Sum of Loan_Amount_LKR</t>
  </si>
  <si>
    <t>Column Labels</t>
  </si>
  <si>
    <t>Count of Loan_ID</t>
  </si>
  <si>
    <t>Average of Monthly_Income_LKR</t>
  </si>
  <si>
    <t>2023</t>
  </si>
  <si>
    <t>2024</t>
  </si>
  <si>
    <t>2025</t>
  </si>
  <si>
    <t>2026</t>
  </si>
  <si>
    <t>Total Loan Amount by Branch</t>
  </si>
  <si>
    <t>Loan Count by Branch and Status</t>
  </si>
  <si>
    <t>Average Income and Loan Amount by Branch</t>
  </si>
  <si>
    <t>Overdue Loans by Branch</t>
  </si>
  <si>
    <t>Loan Amount by Year</t>
  </si>
  <si>
    <t>Loan Count by Loan Officer and Status</t>
  </si>
  <si>
    <t>Loan Type by Risk Rating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</si>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</sst>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quot;"/>
  </numFmts>
  <fonts count="4">
    <font>
      <sz val="11"/>
      <color theme="1"/>
      <name val="Calibri"/>
      <family val="2"/>
      <scheme val="minor"/>
    </font>
    <font>
      <b/>
      <sz val="11"/>
      <color rgb="FFFFFFFF"/>
      <name val="Calibri"/>
    </font>
    <font>
      <b/>
      <sz val="12"/>
      <color theme="1"/>
      <name val="Calibri"/>
      <family val="2"/>
      <scheme val="minor"/>
    </font>
    <font>
      <sz val="10"/>
      <color theme="1"/>
      <name val="Arial Unicode MS"/>
    </font>
  </fonts>
  <fills count="4">
    <fill>
      <patternFill patternType="none"/>
    </fill>
    <fill>
      <patternFill patternType="gray125"/>
    </fill>
    <fill>
      <patternFill patternType="solid">
        <fgColor rgb="FF1F4E78"/>
      </patternFill>
    </fill>
    <fill>
      <patternFill patternType="solid">
        <fgColor theme="9"/>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3" fontId="0" fillId="0" borderId="1" xfId="0" applyNumberFormat="1" applyBorder="1"/>
    <xf numFmtId="10" fontId="0" fillId="0" borderId="0" xfId="0" applyNumberFormat="1"/>
    <xf numFmtId="10" fontId="0" fillId="0" borderId="1" xfId="0" applyNumberFormat="1" applyBorder="1"/>
    <xf numFmtId="14" fontId="0" fillId="0" borderId="0" xfId="0" applyNumberFormat="1"/>
    <xf numFmtId="0" fontId="3" fillId="0" borderId="0" xfId="0" applyFont="1" applyAlignment="1">
      <alignment vertical="center"/>
    </xf>
    <xf numFmtId="0" fontId="2" fillId="3" borderId="2" xfId="0" applyFont="1" applyFill="1" applyBorder="1" applyAlignment="1">
      <alignment horizontal="center"/>
    </xf>
  </cellXfs>
  <cellStyles count="1">
    <cellStyle name="Normal" xfId="0" builtinId="0"/>
  </cellStyles>
  <dxfs count="38">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[Bank_Loan_Pivot_Practice_350_Observations.xlsx]Pivot_Tables!PivotTable3</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Total Loan Amount by Branch</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Pivot_Tables!$A$3:$A$10</c:f>
              <c:strCache>
                <c:ptCount val="7"/>
                <c:pt idx="0">
                  <c:v>Colombo</c:v>
                </c:pt>
                <c:pt idx="1">
                  <c:v>Galle</c:v>
                </c:pt>
                <c:pt idx="2">
                  <c:v>Jaffna</c:v>
                </c:pt>
                <c:pt idx="3">
                  <c:v>Kandy</c:v>
                </c:pt>
                <c:pt idx="4">
                  <c:v>Kurunegala</c:v>
                </c:pt>
                <c:pt idx="5">
                  <c:v>Matara</c:v>
                </c:pt>
                <c:pt idx="6">
                  <c:v>Negombo</c:v>
                </c:pt>
              </c:strCache>
            </c:strRef>
          </c:cat>
          <c:val>
            <c:numRef>
              <c:f>Pivot_Tables!$B$3:$B$10</c:f>
              <c:numCache>
                <c:formatCode>#,##0</c:formatCode>
                <c:ptCount val="7"/>
                <c:pt idx="0">
                  <c:v>135298000</c:v>
                </c:pt>
                <c:pt idx="1">
                  <c:v>131173000</c:v>
                </c:pt>
                <c:pt idx="2">
                  <c:v>128506000</c:v>
                </c:pt>
                <c:pt idx="3">
                  <c:v>134473000</c:v>
                </c:pt>
                <c:pt idx="4">
                  <c:v>132072000</c:v>
                </c:pt>
                <c:pt idx="5">
                  <c:v>129912000</c:v>
                </c:pt>
                <c:pt idx="6">
                  <c:v>137421000</c:v>
                </c:pt>
              </c:numCache>
            </c:numRef>
          </c:val>
          <c:extLst>
            <c:ext xmlns:c16="http://schemas.microsoft.com/office/drawing/2014/chart" uri="{C3380CC4-5D6E-409C-BE32-E72D297353CC}">
              <c16:uniqueId val="{00000000-2308-4173-9076-7DDCF68D3A82}"/>
            </c:ext>
          </c:extLst>
        </c:ser>
        <c:dLbls>
          <c:dLblPos val="outEnd"/>
          <c:showLegendKey val="0"/>
          <c:showVal val="1"/>
          <c:showCatName val="0"/>
          <c:showSerName val="0"/>
          <c:showPercent val="0"/>
          <c:showBubbleSize val="0"/>
        </c:dLbls>
        <c:gapWidth val="219"/>
        <c:overlap val="-27"/>
        <c:axId val="1625137759"/>
        <c:axId val="1575801503"/>
      </c:barChart>
      <c:catAx>
        <c:axId val="162513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801503"/>
        <c:crosses val="autoZero"/>
        <c:auto val="1"/>
        <c:lblAlgn val="ctr"/>
        <c:lblOffset val="100"/>
        <c:noMultiLvlLbl val="0"/>
      </c:catAx>
      <c:valAx>
        <c:axId val="157580150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13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[Bank_Loan_Pivot_Practice_350_Observations.xlsx]Pivot_Tables!PivotTable5</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Loan count by</a:t>
            </a:r>
            <a:r>
              <a:rPr lang="en-US" sz="1600" b="1" baseline="0"/>
              <a:t> Branch and Status</a:t>
            </a:r>
          </a:p>
          <a:p>
            <a:pPr>
              <a:defRPr sz="1600" b="1"/>
            </a:pP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Pivot_Tables!$E$2:$E$3</c:f>
              <c:strCache>
                <c:ptCount val="1"/>
                <c:pt idx="0">
                  <c:v>Active</c:v>
                </c:pt>
              </c:strCache>
            </c:strRef>
          </c:tx>
          <c:spPr>
            <a:solidFill>
              <a:schemeClr val="accent1"/>
            </a:solidFill>
            <a:ln>
              <a:noFill/>
            </a:ln>
            <a:effectLst/>
          </c:spPr>
          <c:invertIfNegative val="0"/>
          <c:cat>
            <c:strRef>
              <c:f>Pivot_Tables!$D$4:$D$11</c:f>
              <c:strCache>
                <c:ptCount val="7"/>
                <c:pt idx="0">
                  <c:v>Colombo</c:v>
                </c:pt>
                <c:pt idx="1">
                  <c:v>Galle</c:v>
                </c:pt>
                <c:pt idx="2">
                  <c:v>Jaffna</c:v>
                </c:pt>
                <c:pt idx="3">
                  <c:v>Kandy</c:v>
                </c:pt>
                <c:pt idx="4">
                  <c:v>Kurunegala</c:v>
                </c:pt>
                <c:pt idx="5">
                  <c:v>Matara</c:v>
                </c:pt>
                <c:pt idx="6">
                  <c:v>Negombo</c:v>
                </c:pt>
              </c:strCache>
            </c:strRef>
          </c:cat>
          <c:val>
            <c:numRef>
              <c:f>Pivot_Tables!$E$4:$E$11</c:f>
              <c:numCache>
                <c:formatCode>General</c:formatCode>
                <c:ptCount val="7"/>
                <c:pt idx="0">
                  <c:v>14</c:v>
                </c:pt>
                <c:pt idx="1">
                  <c:v>16</c:v>
                </c:pt>
                <c:pt idx="2">
                  <c:v>20</c:v>
                </c:pt>
                <c:pt idx="3">
                  <c:v>19</c:v>
                </c:pt>
                <c:pt idx="4">
                  <c:v>18</c:v>
                </c:pt>
                <c:pt idx="5">
                  <c:v>17</c:v>
                </c:pt>
                <c:pt idx="6">
                  <c:v>17</c:v>
                </c:pt>
              </c:numCache>
            </c:numRef>
          </c:val>
          <c:extLst>
            <c:ext xmlns:c16="http://schemas.microsoft.com/office/drawing/2014/chart" uri="{C3380CC4-5D6E-409C-BE32-E72D297353CC}">
              <c16:uniqueId val="{00000000-0BA9-4B17-93C8-074B904BCF1B}"/>
            </c:ext>
          </c:extLst>
        </c:ser>
        <c:ser>
          <c:idx val="1"/>
          <c:order val="1"/>
          <c:tx>
            <c:strRef>
              <c:f>Pivot_Tables!$F$2:$F$3</c:f>
              <c:strCache>
                <c:ptCount val="1"/>
                <c:pt idx="0">
                  <c:v>Overdue</c:v>
                </c:pt>
              </c:strCache>
            </c:strRef>
          </c:tx>
          <c:spPr>
            <a:solidFill>
              <a:schemeClr val="accent2"/>
            </a:solidFill>
            <a:ln>
              <a:noFill/>
            </a:ln>
            <a:effectLst/>
          </c:spPr>
          <c:invertIfNegative val="0"/>
          <c:cat>
            <c:strRef>
              <c:f>Pivot_Tables!$D$4:$D$11</c:f>
              <c:strCache>
                <c:ptCount val="7"/>
                <c:pt idx="0">
                  <c:v>Colombo</c:v>
                </c:pt>
                <c:pt idx="1">
                  <c:v>Galle</c:v>
                </c:pt>
                <c:pt idx="2">
                  <c:v>Jaffna</c:v>
                </c:pt>
                <c:pt idx="3">
                  <c:v>Kandy</c:v>
                </c:pt>
                <c:pt idx="4">
                  <c:v>Kurunegala</c:v>
                </c:pt>
                <c:pt idx="5">
                  <c:v>Matara</c:v>
                </c:pt>
                <c:pt idx="6">
                  <c:v>Negombo</c:v>
                </c:pt>
              </c:strCache>
            </c:strRef>
          </c:cat>
          <c:val>
            <c:numRef>
              <c:f>Pivot_Tables!$F$4:$F$11</c:f>
              <c:numCache>
                <c:formatCode>General</c:formatCode>
                <c:ptCount val="7"/>
                <c:pt idx="0">
                  <c:v>17</c:v>
                </c:pt>
                <c:pt idx="1">
                  <c:v>17</c:v>
                </c:pt>
                <c:pt idx="2">
                  <c:v>14</c:v>
                </c:pt>
                <c:pt idx="3">
                  <c:v>13</c:v>
                </c:pt>
                <c:pt idx="4">
                  <c:v>16</c:v>
                </c:pt>
                <c:pt idx="5">
                  <c:v>16</c:v>
                </c:pt>
                <c:pt idx="6">
                  <c:v>14</c:v>
                </c:pt>
              </c:numCache>
            </c:numRef>
          </c:val>
          <c:extLst>
            <c:ext xmlns:c16="http://schemas.microsoft.com/office/drawing/2014/chart" uri="{C3380CC4-5D6E-409C-BE32-E72D297353CC}">
              <c16:uniqueId val="{00000001-0BA9-4B17-93C8-074B904BCF1B}"/>
            </c:ext>
          </c:extLst>
        </c:ser>
        <c:ser>
          <c:idx val="2"/>
          <c:order val="2"/>
          <c:tx>
            <c:strRef>
              <c:f>Pivot_Tables!$G$2:$G$3</c:f>
              <c:strCache>
                <c:ptCount val="1"/>
                <c:pt idx="0">
                  <c:v>Paid</c:v>
                </c:pt>
              </c:strCache>
            </c:strRef>
          </c:tx>
          <c:spPr>
            <a:solidFill>
              <a:schemeClr val="accent3"/>
            </a:solidFill>
            <a:ln>
              <a:noFill/>
            </a:ln>
            <a:effectLst/>
          </c:spPr>
          <c:invertIfNegative val="0"/>
          <c:cat>
            <c:strRef>
              <c:f>Pivot_Tables!$D$4:$D$11</c:f>
              <c:strCache>
                <c:ptCount val="7"/>
                <c:pt idx="0">
                  <c:v>Colombo</c:v>
                </c:pt>
                <c:pt idx="1">
                  <c:v>Galle</c:v>
                </c:pt>
                <c:pt idx="2">
                  <c:v>Jaffna</c:v>
                </c:pt>
                <c:pt idx="3">
                  <c:v>Kandy</c:v>
                </c:pt>
                <c:pt idx="4">
                  <c:v>Kurunegala</c:v>
                </c:pt>
                <c:pt idx="5">
                  <c:v>Matara</c:v>
                </c:pt>
                <c:pt idx="6">
                  <c:v>Negombo</c:v>
                </c:pt>
              </c:strCache>
            </c:strRef>
          </c:cat>
          <c:val>
            <c:numRef>
              <c:f>Pivot_Tables!$G$4:$G$11</c:f>
              <c:numCache>
                <c:formatCode>General</c:formatCode>
                <c:ptCount val="7"/>
                <c:pt idx="0">
                  <c:v>18</c:v>
                </c:pt>
                <c:pt idx="1">
                  <c:v>17</c:v>
                </c:pt>
                <c:pt idx="2">
                  <c:v>16</c:v>
                </c:pt>
                <c:pt idx="3">
                  <c:v>19</c:v>
                </c:pt>
                <c:pt idx="4">
                  <c:v>16</c:v>
                </c:pt>
                <c:pt idx="5">
                  <c:v>17</c:v>
                </c:pt>
                <c:pt idx="6">
                  <c:v>19</c:v>
                </c:pt>
              </c:numCache>
            </c:numRef>
          </c:val>
          <c:extLst>
            <c:ext xmlns:c16="http://schemas.microsoft.com/office/drawing/2014/chart" uri="{C3380CC4-5D6E-409C-BE32-E72D297353CC}">
              <c16:uniqueId val="{00000002-0BA9-4B17-93C8-074B904BCF1B}"/>
            </c:ext>
          </c:extLst>
        </c:ser>
        <c:dLbls>
          <c:showLegendKey val="0"/>
          <c:showVal val="0"/>
          <c:showCatName val="0"/>
          <c:showSerName val="0"/>
          <c:showPercent val="0"/>
          <c:showBubbleSize val="0"/>
        </c:dLbls>
        <c:gapWidth val="219"/>
        <c:overlap val="-27"/>
        <c:axId val="60796239"/>
        <c:axId val="1575773663"/>
      </c:barChart>
      <c:catAx>
        <c:axId val="6079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73663"/>
        <c:crosses val="autoZero"/>
        <c:auto val="1"/>
        <c:lblAlgn val="ctr"/>
        <c:lblOffset val="100"/>
        <c:noMultiLvlLbl val="0"/>
      </c:catAx>
      <c:valAx>
        <c:axId val="157577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[Bank_Loan_Pivot_Practice_350_Observations.xlsx]Pivot_Tables!PivotTable8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Monthly Income by Branch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Pivot_Tables!$K$2</c:f>
              <c:strCache>
                <c:ptCount val="1"/>
                <c:pt idx="0">
                  <c:v>Total</c:v>
                </c:pt>
              </c:strCache>
            </c:strRef>
          </c:tx>
          <c:spPr>
            <a:solidFill>
              <a:schemeClr val="accent1"/>
            </a:solidFill>
            <a:ln>
              <a:noFill/>
            </a:ln>
            <a:effectLst/>
          </c:spPr>
          <c:invertIfNegative val="0"/>
          <c:cat>
            <c:strRef>
              <c:f>Pivot_Tables!$J$3:$J$9</c:f>
              <c:strCache>
                <c:ptCount val="7"/>
                <c:pt idx="0">
                  <c:v>Colombo</c:v>
                </c:pt>
                <c:pt idx="1">
                  <c:v>Galle</c:v>
                </c:pt>
                <c:pt idx="2">
                  <c:v>Jaffna</c:v>
                </c:pt>
                <c:pt idx="3">
                  <c:v>Kandy</c:v>
                </c:pt>
                <c:pt idx="4">
                  <c:v>Kurunegala</c:v>
                </c:pt>
                <c:pt idx="5">
                  <c:v>Matara</c:v>
                </c:pt>
                <c:pt idx="6">
                  <c:v>Negombo</c:v>
                </c:pt>
              </c:strCache>
            </c:strRef>
          </c:cat>
          <c:val>
            <c:numRef>
              <c:f>Pivot_Tables!$K$3:$K$9</c:f>
              <c:numCache>
                <c:formatCode>#,##0</c:formatCode>
                <c:ptCount val="7"/>
                <c:pt idx="0">
                  <c:v>234195.91836734695</c:v>
                </c:pt>
                <c:pt idx="1">
                  <c:v>238850</c:v>
                </c:pt>
                <c:pt idx="2">
                  <c:v>238704</c:v>
                </c:pt>
                <c:pt idx="3">
                  <c:v>238374.50980392157</c:v>
                </c:pt>
                <c:pt idx="4">
                  <c:v>239288</c:v>
                </c:pt>
                <c:pt idx="5">
                  <c:v>230996</c:v>
                </c:pt>
                <c:pt idx="6">
                  <c:v>238558</c:v>
                </c:pt>
              </c:numCache>
            </c:numRef>
          </c:val>
          <c:extLst>
            <c:ext xmlns:c16="http://schemas.microsoft.com/office/drawing/2014/chart" uri="{C3380CC4-5D6E-409C-BE32-E72D297353CC}">
              <c16:uniqueId val="{00000000-45DA-4803-8693-44A81B12A7A8}"/>
            </c:ext>
          </c:extLst>
        </c:ser>
        <c:dLbls>
          <c:showLegendKey val="0"/>
          <c:showVal val="0"/>
          <c:showCatName val="0"/>
          <c:showSerName val="0"/>
          <c:showPercent val="0"/>
          <c:showBubbleSize val="0"/>
        </c:dLbls>
        <c:gapWidth val="219"/>
        <c:overlap val="-27"/>
        <c:axId val="55727647"/>
        <c:axId val="1575791423"/>
      </c:barChart>
      <c:catAx>
        <c:axId val="5572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5791423"/>
        <c:crosses val="autoZero"/>
        <c:auto val="1"/>
        <c:lblAlgn val="ctr"/>
        <c:lblOffset val="100"/>
        <c:noMultiLvlLbl val="0"/>
      </c:catAx>
      <c:valAx>
        <c:axId val="157579142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72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[Bank_Loan_Pivot_Practice_350_Observations.xlsx]Pivot_Tables!PivotTable12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Overdue</a:t>
            </a:r>
            <a:r>
              <a:rPr lang="en-US" baseline="0"/>
              <a:t> Loan Amount</a:t>
            </a:r>
            <a:r>
              <a:rPr lang="en-US"/>
              <a:t> by Branch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Pivot_Tables!$O$4</c:f>
              <c:strCache>
                <c:ptCount val="1"/>
                <c:pt idx="0">
                  <c:v>Total</c:v>
                </c:pt>
              </c:strCache>
            </c:strRef>
          </c:tx>
          <c:spPr>
            <a:solidFill>
              <a:schemeClr val="accent1"/>
            </a:solidFill>
            <a:ln>
              <a:noFill/>
            </a:ln>
            <a:effectLst/>
          </c:spPr>
          <c:invertIfNegative val="0"/>
          <c:cat>
            <c:strRef>
              <c:f>Pivot_Tables!$N$5:$N$12</c:f>
              <c:strCache>
                <c:ptCount val="7"/>
                <c:pt idx="0">
                  <c:v>Matara</c:v>
                </c:pt>
                <c:pt idx="1">
                  <c:v>Colombo</c:v>
                </c:pt>
                <c:pt idx="2">
                  <c:v>Jaffna</c:v>
                </c:pt>
                <c:pt idx="3">
                  <c:v>Kandy</c:v>
                </c:pt>
                <c:pt idx="4">
                  <c:v>Kurunegala</c:v>
                </c:pt>
                <c:pt idx="5">
                  <c:v>Galle</c:v>
                </c:pt>
                <c:pt idx="6">
                  <c:v>Negombo</c:v>
                </c:pt>
              </c:strCache>
            </c:strRef>
          </c:cat>
          <c:val>
            <c:numRef>
              <c:f>Pivot_Tables!$O$5:$O$12</c:f>
              <c:numCache>
                <c:formatCode>#,##0</c:formatCode>
                <c:ptCount val="7"/>
                <c:pt idx="0">
                  <c:v>48802000</c:v>
                </c:pt>
                <c:pt idx="1">
                  <c:v>46267000</c:v>
                </c:pt>
                <c:pt idx="2">
                  <c:v>38451000</c:v>
                </c:pt>
                <c:pt idx="3">
                  <c:v>32632000</c:v>
                </c:pt>
                <c:pt idx="4">
                  <c:v>31493000</c:v>
                </c:pt>
                <c:pt idx="5">
                  <c:v>27320000</c:v>
                </c:pt>
                <c:pt idx="6">
                  <c:v>19041000</c:v>
                </c:pt>
              </c:numCache>
            </c:numRef>
          </c:val>
          <c:extLst>
            <c:ext xmlns:c16="http://schemas.microsoft.com/office/drawing/2014/chart" uri="{C3380CC4-5D6E-409C-BE32-E72D297353CC}">
              <c16:uniqueId val="{00000000-6908-40F3-9173-141BF1CFED88}"/>
            </c:ext>
          </c:extLst>
        </c:ser>
        <c:dLbls>
          <c:showLegendKey val="0"/>
          <c:showVal val="0"/>
          <c:showCatName val="0"/>
          <c:showSerName val="0"/>
          <c:showPercent val="0"/>
          <c:showBubbleSize val="0"/>
        </c:dLbls>
        <c:gapWidth val="219"/>
        <c:overlap val="-27"/>
        <c:axId val="55730431"/>
        <c:axId val="1575765983"/>
      </c:barChart>
      <c:catAx>
        <c:axId val="5573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5765983"/>
        <c:crosses val="autoZero"/>
        <c:auto val="1"/>
        <c:lblAlgn val="ctr"/>
        <c:lblOffset val="100"/>
        <c:noMultiLvlLbl val="0"/>
      </c:catAx>
      <c:valAx>
        <c:axId val="1575765983"/>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73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[Bank_Loan_Pivot_Practice_350_Observations.xlsx]Pivot_Tables!PivotTable16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Loan Amount by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Pivot_Tables!$S$2</c:f>
              <c:strCache>
                <c:ptCount val="1"/>
                <c:pt idx="0">
                  <c:v>Total</c:v>
                </c:pt>
              </c:strCache>
            </c:strRef>
          </c:tx>
          <c:spPr>
            <a:ln w="28575" cap="rnd">
              <a:solidFill>
                <a:schemeClr val="accent1"/>
              </a:solidFill>
              <a:round/>
            </a:ln>
            <a:effectLst/>
          </c:spPr>
          <c:marker>
            <c:symbol val="none"/>
          </c:marker>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Pivot_Tables!$R$3:$R$7</c:f>
              <c:strCache>
                <c:ptCount val="4"/>
                <c:pt idx="0">
                  <c:v>2023</c:v>
                </c:pt>
                <c:pt idx="1">
                  <c:v>2024</c:v>
                </c:pt>
                <c:pt idx="2">
                  <c:v>2025</c:v>
                </c:pt>
                <c:pt idx="3">
                  <c:v>2026</c:v>
                </c:pt>
              </c:strCache>
            </c:strRef>
          </c:cat>
          <c:val>
            <c:numRef>
              <c:f>Pivot_Tables!$S$3:$S$7</c:f>
              <c:numCache>
                <c:formatCode>#,##0</c:formatCode>
                <c:ptCount val="4"/>
                <c:pt idx="0">
                  <c:v>298734000</c:v>
                </c:pt>
                <c:pt idx="1">
                  <c:v>250040000</c:v>
                </c:pt>
                <c:pt idx="2">
                  <c:v>220592000</c:v>
                </c:pt>
                <c:pt idx="3">
                  <c:v>159489000</c:v>
                </c:pt>
              </c:numCache>
            </c:numRef>
          </c:val>
          <c:smooth val="0"/>
          <c:extLst>
            <c:ext xmlns:c16="http://schemas.microsoft.com/office/drawing/2014/chart" uri="{C3380CC4-5D6E-409C-BE32-E72D297353CC}">
              <c16:uniqueId val="{00000000-DAB8-4574-9473-73EC8C235EC8}"/>
            </c:ext>
          </c:extLst>
        </c:ser>
        <c:dLbls>
          <c:dLblPos val="t"/>
          <c:showLegendKey val="0"/>
          <c:showVal val="1"/>
          <c:showCatName val="0"/>
          <c:showSerName val="0"/>
          <c:showPercent val="0"/>
          <c:showBubbleSize val="0"/>
        </c:dLbls>
        <c:smooth val="0"/>
        <c:axId val="53062463"/>
        <c:axId val="1575766463"/>
      </c:lineChart>
      <c:catAx>
        <c:axId val="5306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66463"/>
        <c:crosses val="autoZero"/>
        <c:auto val="1"/>
        <c:lblAlgn val="ctr"/>
        <c:lblOffset val="100"/>
        <c:noMultiLvlLbl val="0"/>
      </c:catAx>
      <c:valAx>
        <c:axId val="1575766463"/>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[Bank_Loan_Pivot_Practice_350_Observations.xlsx]Pivot_Tables!PivotTable1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Loan amount in percentage by Year</a:t>
            </a:r>
          </a:p>
          <a:p>
            <a:pPr>
              <a:defRPr/>
            </a:pPr>
            <a:endParaRPr lang="en-US"/>
          </a:p>
        </c:rich>
      </c:tx>
      <c:layout>
        <c:manualLayout>
          <c:xMode val="edge"/>
          <c:yMode val="edge"/>
          <c:x val="0.23028455818022747"/>
          <c:y val="0.1008311461067366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Pivot_Tables!$S$10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8C-42A8-895A-0DC29A9677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8C-42A8-895A-0DC29A9677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8C-42A8-895A-0DC29A9677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8C-42A8-895A-0DC29A9677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Pivot_Tables!$R$11:$R$15</c:f>
              <c:strCache>
                <c:ptCount val="4"/>
                <c:pt idx="0">
                  <c:v>2023</c:v>
                </c:pt>
                <c:pt idx="1">
                  <c:v>2024</c:v>
                </c:pt>
                <c:pt idx="2">
                  <c:v>2025</c:v>
                </c:pt>
                <c:pt idx="3">
                  <c:v>2026</c:v>
                </c:pt>
              </c:strCache>
            </c:strRef>
          </c:cat>
          <c:val>
            <c:numRef>
              <c:f>Pivot_Tables!$S$11:$S$15</c:f>
              <c:numCache>
                <c:formatCode>0.00%</c:formatCode>
                <c:ptCount val="4"/>
                <c:pt idx="0">
                  <c:v>0.32161532209010019</c:v>
                </c:pt>
                <c:pt idx="1">
                  <c:v>0.26919163916865391</c:v>
                </c:pt>
                <c:pt idx="2">
                  <c:v>0.23748809017553871</c:v>
                </c:pt>
                <c:pt idx="3">
                  <c:v>0.17170494856570725</c:v>
                </c:pt>
              </c:numCache>
            </c:numRef>
          </c:val>
          <c:extLst>
            <c:ext xmlns:c16="http://schemas.microsoft.com/office/drawing/2014/chart" uri="{C3380CC4-5D6E-409C-BE32-E72D297353CC}">
              <c16:uniqueId val="{00000008-E48C-42A8-895A-0DC29A9677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[Bank_Loan_Pivot_Practice_350_Observations.xlsx]Pivot_Tables!PivotTable10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Risk Rating Share within Each Loan Type (% of Loan Amount)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Pivot_Tables!$B$28:$B$29</c:f>
              <c:strCache>
                <c:ptCount val="1"/>
                <c:pt idx="0">
                  <c:v>High</c:v>
                </c:pt>
              </c:strCache>
            </c:strRef>
          </c:tx>
          <c:spPr>
            <a:solidFill>
              <a:schemeClr val="accent1"/>
            </a:solidFill>
            <a:ln>
              <a:noFill/>
            </a:ln>
            <a:effectLst/>
          </c:spPr>
          <c:invertIfNegative val="0"/>
          <c:cat>
            <c:strRef>
              <c:f>Pivot_Tables!$A$30:$A$34</c:f>
              <c:strCache>
                <c:ptCount val="5"/>
                <c:pt idx="0">
                  <c:v>Business</c:v>
                </c:pt>
                <c:pt idx="1">
                  <c:v>Education</c:v>
                </c:pt>
                <c:pt idx="2">
                  <c:v>Home</c:v>
                </c:pt>
                <c:pt idx="3">
                  <c:v>Personal</c:v>
                </c:pt>
                <c:pt idx="4">
                  <c:v>Vehicle</c:v>
                </c:pt>
              </c:strCache>
            </c:strRef>
          </c:cat>
          <c:val>
            <c:numRef>
              <c:f>Pivot_Tables!$B$30:$B$34</c:f>
              <c:numCache>
                <c:formatCode>0.00%</c:formatCode>
                <c:ptCount val="5"/>
                <c:pt idx="0">
                  <c:v>0.33183541865228233</c:v>
                </c:pt>
                <c:pt idx="1">
                  <c:v>0.34144601943478647</c:v>
                </c:pt>
                <c:pt idx="2">
                  <c:v>0.31609288592553153</c:v>
                </c:pt>
                <c:pt idx="3">
                  <c:v>0.32060279636581251</c:v>
                </c:pt>
                <c:pt idx="4">
                  <c:v>0.36930762561413649</c:v>
                </c:pt>
              </c:numCache>
            </c:numRef>
          </c:val>
          <c:extLst>
            <c:ext xmlns:c16="http://schemas.microsoft.com/office/drawing/2014/chart" uri="{C3380CC4-5D6E-409C-BE32-E72D297353CC}">
              <c16:uniqueId val="{00000000-EF2A-4294-AEEA-18F3359A6F3A}"/>
            </c:ext>
          </c:extLst>
        </c:ser>
        <c:ser>
          <c:idx val="1"/>
          <c:order val="1"/>
          <c:tx>
            <c:strRef>
              <c:f>Pivot_Tables!$C$28:$C$29</c:f>
              <c:strCache>
                <c:ptCount val="1"/>
                <c:pt idx="0">
                  <c:v>Low</c:v>
                </c:pt>
              </c:strCache>
            </c:strRef>
          </c:tx>
          <c:spPr>
            <a:solidFill>
              <a:schemeClr val="accent2"/>
            </a:solidFill>
            <a:ln>
              <a:noFill/>
            </a:ln>
            <a:effectLst/>
          </c:spPr>
          <c:invertIfNegative val="0"/>
          <c:cat>
            <c:strRef>
              <c:f>Pivot_Tables!$A$30:$A$34</c:f>
              <c:strCache>
                <c:ptCount val="5"/>
                <c:pt idx="0">
                  <c:v>Business</c:v>
                </c:pt>
                <c:pt idx="1">
                  <c:v>Education</c:v>
                </c:pt>
                <c:pt idx="2">
                  <c:v>Home</c:v>
                </c:pt>
                <c:pt idx="3">
                  <c:v>Personal</c:v>
                </c:pt>
                <c:pt idx="4">
                  <c:v>Vehicle</c:v>
                </c:pt>
              </c:strCache>
            </c:strRef>
          </c:cat>
          <c:val>
            <c:numRef>
              <c:f>Pivot_Tables!$C$30:$C$34</c:f>
              <c:numCache>
                <c:formatCode>0.00%</c:formatCode>
                <c:ptCount val="5"/>
                <c:pt idx="0">
                  <c:v>0.31019406647334374</c:v>
                </c:pt>
                <c:pt idx="1">
                  <c:v>0.31571721494160648</c:v>
                </c:pt>
                <c:pt idx="2">
                  <c:v>0.34684834037197931</c:v>
                </c:pt>
                <c:pt idx="3">
                  <c:v>0.32986235786953921</c:v>
                </c:pt>
                <c:pt idx="4">
                  <c:v>0.32453655918417901</c:v>
                </c:pt>
              </c:numCache>
            </c:numRef>
          </c:val>
          <c:extLst>
            <c:ext xmlns:c16="http://schemas.microsoft.com/office/drawing/2014/chart" uri="{C3380CC4-5D6E-409C-BE32-E72D297353CC}">
              <c16:uniqueId val="{00000001-EF2A-4294-AEEA-18F3359A6F3A}"/>
            </c:ext>
          </c:extLst>
        </c:ser>
        <c:ser>
          <c:idx val="2"/>
          <c:order val="2"/>
          <c:tx>
            <c:strRef>
              <c:f>Pivot_Tables!$D$28:$D$29</c:f>
              <c:strCache>
                <c:ptCount val="1"/>
                <c:pt idx="0">
                  <c:v>Medium</c:v>
                </c:pt>
              </c:strCache>
            </c:strRef>
          </c:tx>
          <c:spPr>
            <a:solidFill>
              <a:schemeClr val="accent3"/>
            </a:solidFill>
            <a:ln>
              <a:noFill/>
            </a:ln>
            <a:effectLst/>
          </c:spPr>
          <c:invertIfNegative val="0"/>
          <c:cat>
            <c:strRef>
              <c:f>Pivot_Tables!$A$30:$A$34</c:f>
              <c:strCache>
                <c:ptCount val="5"/>
                <c:pt idx="0">
                  <c:v>Business</c:v>
                </c:pt>
                <c:pt idx="1">
                  <c:v>Education</c:v>
                </c:pt>
                <c:pt idx="2">
                  <c:v>Home</c:v>
                </c:pt>
                <c:pt idx="3">
                  <c:v>Personal</c:v>
                </c:pt>
                <c:pt idx="4">
                  <c:v>Vehicle</c:v>
                </c:pt>
              </c:strCache>
            </c:strRef>
          </c:cat>
          <c:val>
            <c:numRef>
              <c:f>Pivot_Tables!$D$30:$D$34</c:f>
              <c:numCache>
                <c:formatCode>0.00%</c:formatCode>
                <c:ptCount val="5"/>
                <c:pt idx="0">
                  <c:v>0.35797051487437392</c:v>
                </c:pt>
                <c:pt idx="1">
                  <c:v>0.34283676562360704</c:v>
                </c:pt>
                <c:pt idx="2">
                  <c:v>0.33705877370248916</c:v>
                </c:pt>
                <c:pt idx="3">
                  <c:v>0.34953484576464827</c:v>
                </c:pt>
                <c:pt idx="4">
                  <c:v>0.3061558152016845</c:v>
                </c:pt>
              </c:numCache>
            </c:numRef>
          </c:val>
          <c:extLst>
            <c:ext xmlns:c16="http://schemas.microsoft.com/office/drawing/2014/chart" uri="{C3380CC4-5D6E-409C-BE32-E72D297353CC}">
              <c16:uniqueId val="{00000002-EF2A-4294-AEEA-18F3359A6F3A}"/>
            </c:ext>
          </c:extLst>
        </c:ser>
        <c:dLbls>
          <c:showLegendKey val="0"/>
          <c:showVal val="0"/>
          <c:showCatName val="0"/>
          <c:showSerName val="0"/>
          <c:showPercent val="0"/>
          <c:showBubbleSize val="0"/>
        </c:dLbls>
        <c:gapWidth val="219"/>
        <c:overlap val="-27"/>
        <c:axId val="1625140543"/>
        <c:axId val="1575778463"/>
      </c:barChart>
      <c:catAx>
        <c:axId val="162514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78463"/>
        <c:crosses val="autoZero"/>
        <c:auto val="1"/>
        <c:lblAlgn val="ctr"/>
        <c:lblOffset val="100"/>
        <c:noMultiLvlLbl val="0"/>
      </c:catAx>
      <c:valAx>
        <c:axId val="1575778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14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5908</xdr:colOff>
      <xdr:row>11</xdr:row>
      <xdr:rowOff>167952</xdr:rowOff>
    </xdr:from>
    <xdr:to>
      <xdr:col>4</xdr:col>
      <xdr:colOff>732607</xdr:colOff>
      <xdr:row>25</xdr:row>
      <xdr:rowOff>66832</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ACF1E436-3567-2DAF-4FAD-F44E578D65C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3302724" y="2228462"/>
              <a:ext cx="1830822" cy="2519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894495</xdr:colOff>
      <xdr:row>12</xdr:row>
      <xdr:rowOff>4510</xdr:rowOff>
    </xdr:from>
    <xdr:to>
      <xdr:col>7</xdr:col>
      <xdr:colOff>731987</xdr:colOff>
      <xdr:row>25</xdr:row>
      <xdr:rowOff>90002</xdr:rowOff>
    </xdr:to>
    <mc:AlternateContent xmlns:mc="http://schemas.openxmlformats.org/markup-compatibility/2006" xmlns:a14="http://schemas.microsoft.com/office/drawing/2010/main">
      <mc:Choice Requires="a14">
        <xdr:graphicFrame macro="">
          <xdr:nvGraphicFramePr>
            <xdr:cNvPr id="3" name="Risk_Rating">
              <a:extLst>
                <a:ext uri="{FF2B5EF4-FFF2-40B4-BE49-F238E27FC236}">
                  <a16:creationId xmlns:a16="http://schemas.microsoft.com/office/drawing/2014/main" id="{DAD6ED66-6F42-32B5-3681-029C4C3AF3B1}"/>
                </a:ext>
              </a:extLst>
            </xdr:cNvPr>
            <xdr:cNvGraphicFramePr/>
          </xdr:nvGraphicFramePr>
          <xdr:xfrm>
            <a:off x="0" y="0"/>
            <a:ext cx="0" cy="0"/>
          </xdr:xfrm>
          <a:graphic>
            <a:graphicData uri="http://schemas.microsoft.com/office/drawing/2010/slicer">
              <sle:slicer xmlns:sle="http://schemas.microsoft.com/office/drawing/2010/slicer" name="Risk_Rating"/>
            </a:graphicData>
          </a:graphic>
        </xdr:graphicFrame>
      </mc:Choice>
      <mc:Fallback xmlns="">
        <xdr:sp macro="" textlink="">
          <xdr:nvSpPr>
            <xdr:cNvPr id="0" name=""/>
            <xdr:cNvSpPr>
              <a:spLocks noTextEdit="1"/>
            </xdr:cNvSpPr>
          </xdr:nvSpPr>
          <xdr:spPr>
            <a:xfrm>
              <a:off x="5295434" y="2251632"/>
              <a:ext cx="1828022" cy="2519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175260</xdr:rowOff>
    </xdr:from>
    <xdr:to>
      <xdr:col>8</xdr:col>
      <xdr:colOff>320040</xdr:colOff>
      <xdr:row>16</xdr:row>
      <xdr:rowOff>156210</xdr:rowOff>
    </xdr:to>
    <xdr:graphicFrame macro="">
      <xdr:nvGraphicFramePr>
        <xdr:cNvPr id="2" name="Chart 1">
          <a:extLst>
            <a:ext uri="{FF2B5EF4-FFF2-40B4-BE49-F238E27FC236}">
              <a16:creationId xmlns:a16="http://schemas.microsoft.com/office/drawing/2014/main" id="{06A2FBFB-E93D-F55A-C11F-5F7CC6055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13996</xdr:colOff>
      <xdr:row>1</xdr:row>
      <xdr:rowOff>0</xdr:rowOff>
    </xdr:from>
    <xdr:to>
      <xdr:col>16</xdr:col>
      <xdr:colOff>601980</xdr:colOff>
      <xdr:row>16</xdr:row>
      <xdr:rowOff>171061</xdr:rowOff>
    </xdr:to>
    <xdr:graphicFrame macro="">
      <xdr:nvGraphicFramePr>
        <xdr:cNvPr id="3" name="Chart 4">
          <a:extLst>
            <a:ext uri="{FF2B5EF4-FFF2-40B4-BE49-F238E27FC236}">
              <a16:creationId xmlns:a16="http://schemas.microsoft.com/office/drawing/2014/main" id="{0543E95C-7DE3-8981-4FB5-A5AE4814C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365760</xdr:colOff>
      <xdr:row>1</xdr:row>
      <xdr:rowOff>22860</xdr:rowOff>
    </xdr:from>
    <xdr:to>
      <xdr:col>25</xdr:col>
      <xdr:colOff>268566</xdr:colOff>
      <xdr:row>16</xdr:row>
      <xdr:rowOff>178681</xdr:rowOff>
    </xdr:to>
    <xdr:graphicFrame macro="">
      <xdr:nvGraphicFramePr>
        <xdr:cNvPr id="4" name="Chart 5">
          <a:extLst>
            <a:ext uri="{FF2B5EF4-FFF2-40B4-BE49-F238E27FC236}">
              <a16:creationId xmlns:a16="http://schemas.microsoft.com/office/drawing/2014/main" id="{B006780E-1D5F-122A-6A8F-D859D84A6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592183</xdr:colOff>
      <xdr:row>0</xdr:row>
      <xdr:rowOff>171061</xdr:rowOff>
    </xdr:from>
    <xdr:to>
      <xdr:col>33</xdr:col>
      <xdr:colOff>287383</xdr:colOff>
      <xdr:row>15</xdr:row>
      <xdr:rowOff>171061</xdr:rowOff>
    </xdr:to>
    <xdr:graphicFrame macro="">
      <xdr:nvGraphicFramePr>
        <xdr:cNvPr id="5" name="Chart 6">
          <a:extLst>
            <a:ext uri="{FF2B5EF4-FFF2-40B4-BE49-F238E27FC236}">
              <a16:creationId xmlns:a16="http://schemas.microsoft.com/office/drawing/2014/main" id="{62AE9C0E-068B-1CBF-CA4C-9061600C9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118188</xdr:colOff>
      <xdr:row>17</xdr:row>
      <xdr:rowOff>155821</xdr:rowOff>
    </xdr:from>
    <xdr:to>
      <xdr:col>7</xdr:col>
      <xdr:colOff>438539</xdr:colOff>
      <xdr:row>32</xdr:row>
      <xdr:rowOff>155821</xdr:rowOff>
    </xdr:to>
    <xdr:graphicFrame macro="">
      <xdr:nvGraphicFramePr>
        <xdr:cNvPr id="6" name="Chart 7">
          <a:extLst>
            <a:ext uri="{FF2B5EF4-FFF2-40B4-BE49-F238E27FC236}">
              <a16:creationId xmlns:a16="http://schemas.microsoft.com/office/drawing/2014/main" id="{F7B7B9D2-8B24-7FB0-0777-98E24D118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603380</xdr:colOff>
      <xdr:row>18</xdr:row>
      <xdr:rowOff>18661</xdr:rowOff>
    </xdr:from>
    <xdr:to>
      <xdr:col>16</xdr:col>
      <xdr:colOff>298580</xdr:colOff>
      <xdr:row>33</xdr:row>
      <xdr:rowOff>18661</xdr:rowOff>
    </xdr:to>
    <xdr:graphicFrame macro="">
      <xdr:nvGraphicFramePr>
        <xdr:cNvPr id="7" name="Chart 8">
          <a:extLst>
            <a:ext uri="{FF2B5EF4-FFF2-40B4-BE49-F238E27FC236}">
              <a16:creationId xmlns:a16="http://schemas.microsoft.com/office/drawing/2014/main" id="{70589B10-62D9-A0F1-A6BF-82F685A64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356896</xdr:colOff>
      <xdr:row>17</xdr:row>
      <xdr:rowOff>181791</xdr:rowOff>
    </xdr:from>
    <xdr:to>
      <xdr:col>25</xdr:col>
      <xdr:colOff>52096</xdr:colOff>
      <xdr:row>32</xdr:row>
      <xdr:rowOff>181791</xdr:rowOff>
    </xdr:to>
    <xdr:graphicFrame macro="">
      <xdr:nvGraphicFramePr>
        <xdr:cNvPr id="8" name="Chart 9">
          <a:extLst>
            <a:ext uri="{FF2B5EF4-FFF2-40B4-BE49-F238E27FC236}">
              <a16:creationId xmlns:a16="http://schemas.microsoft.com/office/drawing/2014/main" id="{ED2D5822-6DD3-000C-90FB-4BC5D6A05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6313.055251504629" createdVersion="8" refreshedVersion="8" minRefreshableVersion="3" recordCount="350" xr:uid="{DB5D014B-BA67-47F1-87EA-25398FE6CFCE}">
  <cacheSource type="worksheet">
    <worksheetSource ref="B1:L351" sheet="Loan_Data"/>
  </cacheSource>
  <cacheFields count="11">
    <cacheField name="Customer_ID" numFmtId="0">
      <sharedItems/>
    </cacheField>
    <cacheField name="Customer_Name" numFmtId="0">
      <sharedItems/>
    </cacheField>
    <cacheField name="Branch" numFmtId="0">
      <sharedItems/>
    </cacheField>
    <cacheField name="Loan_Type" numFmtId="0">
      <sharedItems count="5">
        <s v="Vehicle"/>
        <s v="Education"/>
        <s v="Home"/>
        <s v="Business"/>
        <s v="Personal"/>
      </sharedItems>
    </cacheField>
    <cacheField name="Loan_Amount_LKR" numFmtId="3">
      <sharedItems containsSemiMixedTypes="0" containsString="0" containsNumber="1" containsInteger="1" minValue="121000" maxValue="9958000"/>
    </cacheField>
    <cacheField name="Interest_Rate_%" numFmtId="164">
      <sharedItems containsSemiMixedTypes="0" containsString="0" containsNumber="1" minValue="7" maxValue="13"/>
    </cacheField>
    <cacheField name="Loan_Date" numFmtId="0">
      <sharedItems/>
    </cacheField>
    <cacheField name="Status" numFmtId="0">
      <sharedItems/>
    </cacheField>
    <cacheField name="Risk_Rating" numFmtId="0">
      <sharedItems count="3">
        <s v="Medium"/>
        <s v="High"/>
        <s v="Low"/>
      </sharedItems>
    </cacheField>
    <cacheField name="Loan_Officer" numFmtId="0">
      <sharedItems/>
    </cacheField>
    <cacheField name="Monthly_Income_LKR" numFmtId="3">
      <sharedItems containsSemiMixedTypes="0" containsString="0" containsNumber="1" containsInteger="1" minValue="45200" maxValue="4437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6313.082801041666" createdVersion="8" refreshedVersion="8" minRefreshableVersion="3" recordCount="350" xr:uid="{B9E64426-CAA8-4691-AFA8-26B29A4FC1DB}">
  <cacheSource type="worksheet">
    <worksheetSource ref="A1:L351" sheet="Loan_Data"/>
  </cacheSource>
  <cacheFields count="14">
    <cacheField name="Loan_ID" numFmtId="0">
      <sharedItems/>
    </cacheField>
    <cacheField name="Customer_ID" numFmtId="0">
      <sharedItems/>
    </cacheField>
    <cacheField name="Customer_Name" numFmtId="0">
      <sharedItems/>
    </cacheField>
    <cacheField name="Branch" numFmtId="0">
      <sharedItems count="7">
        <s v="Negombo"/>
        <s v="Jaffna"/>
        <s v="Galle"/>
        <s v="Matara"/>
        <s v="Kandy"/>
        <s v="Kurunegala"/>
        <s v="Colombo"/>
      </sharedItems>
    </cacheField>
    <cacheField name="Loan_Type" numFmtId="0">
      <sharedItems/>
    </cacheField>
    <cacheField name="Loan_Amount_LKR" numFmtId="3">
      <sharedItems containsSemiMixedTypes="0" containsString="0" containsNumber="1" containsInteger="1" minValue="121000" maxValue="9958000"/>
    </cacheField>
    <cacheField name="Interest_Rate_%" numFmtId="164">
      <sharedItems containsSemiMixedTypes="0" containsString="0" containsNumber="1" minValue="7" maxValue="13"/>
    </cacheField>
    <cacheField name="Loan_Date" numFmtId="14">
      <sharedItems containsSemiMixedTypes="0" containsNonDate="0" containsDate="1" containsString="0" minDate="2023-01-03T00:00:00" maxDate="2026-09-20T00:00:00" count="350">
        <d v="2023-01-14T00:00:00"/>
        <d v="2023-01-27T00:00:00"/>
        <d v="2023-02-09T00:00:00"/>
        <d v="2023-02-22T00:00:00"/>
        <d v="2023-03-07T00:00:00"/>
        <d v="2023-03-20T00:00:00"/>
        <d v="2023-04-02T00:00:00"/>
        <d v="2023-04-15T00:00:00"/>
        <d v="2023-04-28T00:00:00"/>
        <d v="2023-05-11T00:00:00"/>
        <d v="2023-05-24T00:00:00"/>
        <d v="2023-06-06T00:00:00"/>
        <d v="2023-06-19T00:00:00"/>
        <d v="2023-07-02T00:00:00"/>
        <d v="2023-07-15T00:00:00"/>
        <d v="2023-07-28T00:00:00"/>
        <d v="2023-08-10T00:00:00"/>
        <d v="2023-08-23T00:00:00"/>
        <d v="2023-09-05T00:00:00"/>
        <d v="2023-09-18T00:00:00"/>
        <d v="2023-10-01T00:00:00"/>
        <d v="2023-10-14T00:00:00"/>
        <d v="2023-10-27T00:00:00"/>
        <d v="2023-11-09T00:00:00"/>
        <d v="2023-11-22T00:00:00"/>
        <d v="2023-12-05T00:00:00"/>
        <d v="2023-12-18T00:00:00"/>
        <d v="2023-12-31T00:00:00"/>
        <d v="2024-01-13T00:00:00"/>
        <d v="2024-01-26T00:00:00"/>
        <d v="2024-02-08T00:00:00"/>
        <d v="2024-02-21T00:00:00"/>
        <d v="2024-03-05T00:00:00"/>
        <d v="2024-03-18T00:00:00"/>
        <d v="2024-03-31T00:00:00"/>
        <d v="2024-04-13T00:00:00"/>
        <d v="2024-04-26T00:00:00"/>
        <d v="2024-05-09T00:00:00"/>
        <d v="2024-05-22T00:00:00"/>
        <d v="2024-06-04T00:00:00"/>
        <d v="2024-06-17T00:00:00"/>
        <d v="2024-06-30T00:00:00"/>
        <d v="2024-07-13T00:00:00"/>
        <d v="2024-07-26T00:00:00"/>
        <d v="2024-08-08T00:00:00"/>
        <d v="2024-08-21T00:00:00"/>
        <d v="2024-09-03T00:00:00"/>
        <d v="2024-09-16T00:00:00"/>
        <d v="2024-09-29T00:00:00"/>
        <d v="2024-10-12T00:00:00"/>
        <d v="2024-10-25T00:00:00"/>
        <d v="2024-11-07T00:00:00"/>
        <d v="2024-11-20T00:00:00"/>
        <d v="2024-12-03T00:00:00"/>
        <d v="2024-12-16T00:00:00"/>
        <d v="2024-12-29T00:00:00"/>
        <d v="2025-01-11T00:00:00"/>
        <d v="2025-01-24T00:00:00"/>
        <d v="2025-02-06T00:00:00"/>
        <d v="2025-02-19T00:00:00"/>
        <d v="2025-03-04T00:00:00"/>
        <d v="2025-03-17T00:00:00"/>
        <d v="2025-03-30T00:00:00"/>
        <d v="2025-04-12T00:00:00"/>
        <d v="2025-04-25T00:00:00"/>
        <d v="2025-05-08T00:00:00"/>
        <d v="2025-05-21T00:00:00"/>
        <d v="2025-06-03T00:00:00"/>
        <d v="2025-06-16T00:00:00"/>
        <d v="2025-06-29T00:00:00"/>
        <d v="2025-07-12T00:00:00"/>
        <d v="2025-07-25T00:00:00"/>
        <d v="2025-08-07T00:00:00"/>
        <d v="2025-08-20T00:00:00"/>
        <d v="2025-09-02T00:00:00"/>
        <d v="2025-09-15T00:00:00"/>
        <d v="2025-09-28T00:00:00"/>
        <d v="2025-10-11T00:00:00"/>
        <d v="2025-10-24T00:00:00"/>
        <d v="2025-11-06T00:00:00"/>
        <d v="2025-11-19T00:00:00"/>
        <d v="2025-12-02T00:00:00"/>
        <d v="2025-12-15T00:00:00"/>
        <d v="2025-12-28T00:00:00"/>
        <d v="2026-01-10T00:00:00"/>
        <d v="2026-01-23T00:00:00"/>
        <d v="2026-02-05T00:00:00"/>
        <d v="2026-02-18T00:00:00"/>
        <d v="2026-03-03T00:00:00"/>
        <d v="2026-03-16T00:00:00"/>
        <d v="2026-03-29T00:00:00"/>
        <d v="2026-04-11T00:00:00"/>
        <d v="2026-04-24T00:00:00"/>
        <d v="2026-05-07T00:00:00"/>
        <d v="2026-05-20T00:00:00"/>
        <d v="2026-06-02T00:00:00"/>
        <d v="2026-06-15T00:00:00"/>
        <d v="2026-06-28T00:00:00"/>
        <d v="2026-07-11T00:00:00"/>
        <d v="2026-07-24T00:00:00"/>
        <d v="2026-08-06T00:00:00"/>
        <d v="2026-08-19T00:00:00"/>
        <d v="2026-09-01T00:00:00"/>
        <d v="2026-09-14T00:00:00"/>
        <d v="2023-01-06T00:00:00"/>
        <d v="2023-01-19T00:00:00"/>
        <d v="2023-02-01T00:00:00"/>
        <d v="2023-02-14T00:00:00"/>
        <d v="2023-02-27T00:00:00"/>
        <d v="2023-03-12T00:00:00"/>
        <d v="2023-03-25T00:00:00"/>
        <d v="2023-04-07T00:00:00"/>
        <d v="2023-04-20T00:00:00"/>
        <d v="2023-05-03T00:00:00"/>
        <d v="2023-05-16T00:00:00"/>
        <d v="2023-05-29T00:00:00"/>
        <d v="2023-06-11T00:00:00"/>
        <d v="2023-06-24T00:00:00"/>
        <d v="2023-07-07T00:00:00"/>
        <d v="2023-07-20T00:00:00"/>
        <d v="2023-08-02T00:00:00"/>
        <d v="2023-08-15T00:00:00"/>
        <d v="2023-08-28T00:00:00"/>
        <d v="2023-09-10T00:00:00"/>
        <d v="2023-09-23T00:00:00"/>
        <d v="2023-10-06T00:00:00"/>
        <d v="2023-10-19T00:00:00"/>
        <d v="2023-11-01T00:00:00"/>
        <d v="2023-11-14T00:00:00"/>
        <d v="2023-11-27T00:00:00"/>
        <d v="2023-12-10T00:00:00"/>
        <d v="2023-12-23T00:00:00"/>
        <d v="2024-01-05T00:00:00"/>
        <d v="2024-01-18T00:00:00"/>
        <d v="2024-01-31T00:00:00"/>
        <d v="2024-02-13T00:00:00"/>
        <d v="2024-02-26T00:00:00"/>
        <d v="2024-03-10T00:00:00"/>
        <d v="2024-03-23T00:00:00"/>
        <d v="2024-04-05T00:00:00"/>
        <d v="2024-04-18T00:00:00"/>
        <d v="2024-05-01T00:00:00"/>
        <d v="2024-05-14T00:00:00"/>
        <d v="2024-05-27T00:00:00"/>
        <d v="2024-06-09T00:00:00"/>
        <d v="2024-06-22T00:00:00"/>
        <d v="2024-07-05T00:00:00"/>
        <d v="2024-07-18T00:00:00"/>
        <d v="2024-07-31T00:00:00"/>
        <d v="2024-08-13T00:00:00"/>
        <d v="2024-08-26T00:00:00"/>
        <d v="2024-09-08T00:00:00"/>
        <d v="2024-09-21T00:00:00"/>
        <d v="2024-10-04T00:00:00"/>
        <d v="2024-10-17T00:00:00"/>
        <d v="2024-10-30T00:00:00"/>
        <d v="2024-11-12T00:00:00"/>
        <d v="2024-11-25T00:00:00"/>
        <d v="2024-12-08T00:00:00"/>
        <d v="2024-12-21T00:00:00"/>
        <d v="2025-01-03T00:00:00"/>
        <d v="2025-01-16T00:00:00"/>
        <d v="2025-01-29T00:00:00"/>
        <d v="2025-02-11T00:00:00"/>
        <d v="2025-02-24T00:00:00"/>
        <d v="2025-03-09T00:00:00"/>
        <d v="2025-03-22T00:00:00"/>
        <d v="2025-04-04T00:00:00"/>
        <d v="2025-04-17T00:00:00"/>
        <d v="2025-04-30T00:00:00"/>
        <d v="2025-05-13T00:00:00"/>
        <d v="2025-05-26T00:00:00"/>
        <d v="2025-06-08T00:00:00"/>
        <d v="2025-06-21T00:00:00"/>
        <d v="2025-07-04T00:00:00"/>
        <d v="2025-07-17T00:00:00"/>
        <d v="2025-07-30T00:00:00"/>
        <d v="2025-08-12T00:00:00"/>
        <d v="2025-08-25T00:00:00"/>
        <d v="2025-09-07T00:00:00"/>
        <d v="2025-09-20T00:00:00"/>
        <d v="2025-10-03T00:00:00"/>
        <d v="2025-10-16T00:00:00"/>
        <d v="2025-10-29T00:00:00"/>
        <d v="2025-11-11T00:00:00"/>
        <d v="2025-11-24T00:00:00"/>
        <d v="2025-12-07T00:00:00"/>
        <d v="2025-12-20T00:00:00"/>
        <d v="2026-01-02T00:00:00"/>
        <d v="2026-01-15T00:00:00"/>
        <d v="2026-01-28T00:00:00"/>
        <d v="2026-02-10T00:00:00"/>
        <d v="2026-02-23T00:00:00"/>
        <d v="2026-03-08T00:00:00"/>
        <d v="2026-03-21T00:00:00"/>
        <d v="2026-04-03T00:00:00"/>
        <d v="2026-04-16T00:00:00"/>
        <d v="2026-04-29T00:00:00"/>
        <d v="2026-05-12T00:00:00"/>
        <d v="2026-05-25T00:00:00"/>
        <d v="2026-06-07T00:00:00"/>
        <d v="2026-06-20T00:00:00"/>
        <d v="2026-07-03T00:00:00"/>
        <d v="2026-07-16T00:00:00"/>
        <d v="2026-07-29T00:00:00"/>
        <d v="2026-08-11T00:00:00"/>
        <d v="2026-08-24T00:00:00"/>
        <d v="2026-09-06T00:00:00"/>
        <d v="2026-09-19T00:00:00"/>
        <d v="2023-01-11T00:00:00"/>
        <d v="2023-01-24T00:00:00"/>
        <d v="2023-02-06T00:00:00"/>
        <d v="2023-02-19T00:00:00"/>
        <d v="2023-03-04T00:00:00"/>
        <d v="2023-03-17T00:00:00"/>
        <d v="2023-03-30T00:00:00"/>
        <d v="2023-04-12T00:00:00"/>
        <d v="2023-04-25T00:00:00"/>
        <d v="2023-05-08T00:00:00"/>
        <d v="2023-05-21T00:00:00"/>
        <d v="2023-06-03T00:00:00"/>
        <d v="2023-06-16T00:00:00"/>
        <d v="2023-06-29T00:00:00"/>
        <d v="2023-07-12T00:00:00"/>
        <d v="2023-07-25T00:00:00"/>
        <d v="2023-08-07T00:00:00"/>
        <d v="2023-08-20T00:00:00"/>
        <d v="2023-09-02T00:00:00"/>
        <d v="2023-09-15T00:00:00"/>
        <d v="2023-09-28T00:00:00"/>
        <d v="2023-10-11T00:00:00"/>
        <d v="2023-10-24T00:00:00"/>
        <d v="2023-11-06T00:00:00"/>
        <d v="2023-11-19T00:00:00"/>
        <d v="2023-12-02T00:00:00"/>
        <d v="2023-12-15T00:00:00"/>
        <d v="2023-12-28T00:00:00"/>
        <d v="2024-01-10T00:00:00"/>
        <d v="2024-01-23T00:00:00"/>
        <d v="2024-02-05T00:00:00"/>
        <d v="2024-02-18T00:00:00"/>
        <d v="2024-03-02T00:00:00"/>
        <d v="2024-03-15T00:00:00"/>
        <d v="2024-03-28T00:00:00"/>
        <d v="2024-04-10T00:00:00"/>
        <d v="2024-04-23T00:00:00"/>
        <d v="2024-05-06T00:00:00"/>
        <d v="2024-05-19T00:00:00"/>
        <d v="2024-06-01T00:00:00"/>
        <d v="2024-06-14T00:00:00"/>
        <d v="2024-06-27T00:00:00"/>
        <d v="2024-07-10T00:00:00"/>
        <d v="2024-07-23T00:00:00"/>
        <d v="2024-08-05T00:00:00"/>
        <d v="2024-08-18T00:00:00"/>
        <d v="2024-08-31T00:00:00"/>
        <d v="2024-09-13T00:00:00"/>
        <d v="2024-09-26T00:00:00"/>
        <d v="2024-10-09T00:00:00"/>
        <d v="2024-10-22T00:00:00"/>
        <d v="2024-11-04T00:00:00"/>
        <d v="2024-11-17T00:00:00"/>
        <d v="2024-11-30T00:00:00"/>
        <d v="2024-12-13T00:00:00"/>
        <d v="2024-12-26T00:00:00"/>
        <d v="2025-01-08T00:00:00"/>
        <d v="2025-01-21T00:00:00"/>
        <d v="2025-02-03T00:00:00"/>
        <d v="2025-02-16T00:00:00"/>
        <d v="2025-03-01T00:00:00"/>
        <d v="2025-03-14T00:00:00"/>
        <d v="2025-03-27T00:00:00"/>
        <d v="2025-04-09T00:00:00"/>
        <d v="2025-04-22T00:00:00"/>
        <d v="2025-05-05T00:00:00"/>
        <d v="2025-05-18T00:00:00"/>
        <d v="2025-05-31T00:00:00"/>
        <d v="2025-06-13T00:00:00"/>
        <d v="2025-06-26T00:00:00"/>
        <d v="2025-07-09T00:00:00"/>
        <d v="2025-07-22T00:00:00"/>
        <d v="2025-08-04T00:00:00"/>
        <d v="2025-08-17T00:00:00"/>
        <d v="2025-08-30T00:00:00"/>
        <d v="2025-09-12T00:00:00"/>
        <d v="2025-09-25T00:00:00"/>
        <d v="2025-10-08T00:00:00"/>
        <d v="2025-10-21T00:00:00"/>
        <d v="2025-11-03T00:00:00"/>
        <d v="2025-11-16T00:00:00"/>
        <d v="2025-11-29T00:00:00"/>
        <d v="2025-12-12T00:00:00"/>
        <d v="2025-12-25T00:00:00"/>
        <d v="2026-01-07T00:00:00"/>
        <d v="2026-01-20T00:00:00"/>
        <d v="2026-02-02T00:00:00"/>
        <d v="2026-02-15T00:00:00"/>
        <d v="2026-02-28T00:00:00"/>
        <d v="2026-03-13T00:00:00"/>
        <d v="2026-03-26T00:00:00"/>
        <d v="2026-04-08T00:00:00"/>
        <d v="2026-04-21T00:00:00"/>
        <d v="2026-05-04T00:00:00"/>
        <d v="2026-05-17T00:00:00"/>
        <d v="2026-05-30T00:00:00"/>
        <d v="2026-06-12T00:00:00"/>
        <d v="2026-06-25T00:00:00"/>
        <d v="2026-07-08T00:00:00"/>
        <d v="2026-07-21T00:00:00"/>
        <d v="2026-08-03T00:00:00"/>
        <d v="2026-08-16T00:00:00"/>
        <d v="2026-08-29T00:00:00"/>
        <d v="2026-09-11T00:00:00"/>
        <d v="2023-01-03T00:00:00"/>
        <d v="2023-01-16T00:00:00"/>
        <d v="2023-01-29T00:00:00"/>
        <d v="2023-02-11T00:00:00"/>
        <d v="2023-02-24T00:00:00"/>
        <d v="2023-03-09T00:00:00"/>
        <d v="2023-03-22T00:00:00"/>
        <d v="2023-04-04T00:00:00"/>
        <d v="2023-04-17T00:00:00"/>
        <d v="2023-04-30T00:00:00"/>
        <d v="2023-05-13T00:00:00"/>
        <d v="2023-05-26T00:00:00"/>
        <d v="2023-06-08T00:00:00"/>
        <d v="2023-06-21T00:00:00"/>
        <d v="2023-07-04T00:00:00"/>
        <d v="2023-07-17T00:00:00"/>
        <d v="2023-07-30T00:00:00"/>
        <d v="2023-08-12T00:00:00"/>
        <d v="2023-08-25T00:00:00"/>
        <d v="2023-09-07T00:00:00"/>
        <d v="2023-09-20T00:00:00"/>
        <d v="2023-10-03T00:00:00"/>
        <d v="2023-10-16T00:00:00"/>
        <d v="2023-10-29T00:00:00"/>
        <d v="2023-11-11T00:00:00"/>
        <d v="2023-11-24T00:00:00"/>
        <d v="2023-12-07T00:00:00"/>
        <d v="2023-12-20T00:00:00"/>
        <d v="2024-01-02T00:00:00"/>
        <d v="2024-01-15T00:00:00"/>
        <d v="2024-01-28T00:00:00"/>
        <d v="2024-02-10T00:00:00"/>
        <d v="2024-02-23T00:00:00"/>
        <d v="2024-03-07T00:00:00"/>
        <d v="2024-03-20T00:00:00"/>
        <d v="2024-04-02T00:00:00"/>
        <d v="2024-04-15T00:00:00"/>
      </sharedItems>
      <fieldGroup par="13"/>
    </cacheField>
    <cacheField name="Status" numFmtId="0">
      <sharedItems count="3">
        <s v="Overdue"/>
        <s v="Active"/>
        <s v="Paid"/>
      </sharedItems>
    </cacheField>
    <cacheField name="Risk_Rating" numFmtId="0">
      <sharedItems count="3">
        <s v="Medium"/>
        <s v="High"/>
        <s v="Low"/>
      </sharedItems>
    </cacheField>
    <cacheField name="Loan_Officer" numFmtId="0">
      <sharedItems count="6">
        <s v="Dinesh"/>
        <s v="Ravi"/>
        <s v="Amal"/>
        <s v="Tharushi"/>
        <s v="Nisha"/>
        <s v="Ishara"/>
      </sharedItems>
    </cacheField>
    <cacheField name="Monthly_Income_LKR" numFmtId="3">
      <sharedItems containsSemiMixedTypes="0" containsString="0" containsNumber="1" containsInteger="1" minValue="45200" maxValue="443700"/>
    </cacheField>
    <cacheField name="Months (Loan_Date)" numFmtId="0" databaseField="0">
      <fieldGroup base="7">
        <rangePr groupBy="months" startDate="2023-01-03T00:00:00" endDate="2026-09-20T00:00:00"/>
        <groupItems count="14">
          <s v="&lt;1/3/2023"/>
          <s v="Jan"/>
          <s v="Feb"/>
          <s v="Mar"/>
          <s v="Apr"/>
          <s v="May"/>
          <s v="Jun"/>
          <s v="Jul"/>
          <s v="Aug"/>
          <s v="Sep"/>
          <s v="Oct"/>
          <s v="Nov"/>
          <s v="Dec"/>
          <s v="&gt;9/20/2026"/>
        </groupItems>
      </fieldGroup>
    </cacheField>
    <cacheField name="Years (Loan_Date)" numFmtId="0" databaseField="0">
      <fieldGroup base="7">
        <rangePr groupBy="years" startDate="2023-01-03T00:00:00" endDate="2026-09-20T00:00:00"/>
        <groupItems count="6">
          <s v="&lt;1/3/2023"/>
          <s v="2023"/>
          <s v="2024"/>
          <s v="2025"/>
          <s v="2026"/>
          <s v="&gt;9/20/2026"/>
        </groupItems>
      </fieldGroup>
    </cacheField>
  </cacheFields>
  <extLst>
    <ext xmlns:x14="http://schemas.microsoft.com/office/spreadsheetml/2009/9/main" uri="{725AE2AE-9491-48be-B2B4-4EB974FC3084}">
      <x14:pivotCacheDefinition pivotCacheId="1231415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C0001"/>
    <s v="Kumari"/>
    <s v="Negombo"/>
    <x v="0"/>
    <n v="347000"/>
    <n v="9.75"/>
    <s v="2023-01-14"/>
    <s v="Overdue"/>
    <x v="0"/>
    <s v="Dinesh"/>
    <n v="52300"/>
  </r>
  <r>
    <s v="C0002"/>
    <s v="Hasini"/>
    <s v="Jaffna"/>
    <x v="1"/>
    <n v="138000"/>
    <n v="7.5"/>
    <s v="2023-01-27"/>
    <s v="Overdue"/>
    <x v="1"/>
    <s v="Ravi"/>
    <n v="59600"/>
  </r>
  <r>
    <s v="C0003"/>
    <s v="Kasun"/>
    <s v="Galle"/>
    <x v="2"/>
    <n v="2519000"/>
    <n v="8.25"/>
    <s v="2023-02-09"/>
    <s v="Overdue"/>
    <x v="2"/>
    <s v="Amal"/>
    <n v="66900"/>
  </r>
  <r>
    <s v="C0004"/>
    <s v="Madhavi"/>
    <s v="Matara"/>
    <x v="3"/>
    <n v="864000"/>
    <n v="10"/>
    <s v="2023-02-22"/>
    <s v="Active"/>
    <x v="0"/>
    <s v="Dinesh"/>
    <n v="74200"/>
  </r>
  <r>
    <s v="C0005"/>
    <s v="Kamal"/>
    <s v="Kandy"/>
    <x v="2"/>
    <n v="2865000"/>
    <n v="7.5"/>
    <s v="2023-03-07"/>
    <s v="Paid"/>
    <x v="1"/>
    <s v="Ravi"/>
    <n v="81500"/>
  </r>
  <r>
    <s v="C0006"/>
    <s v="Nadeesha"/>
    <s v="Kurunegala"/>
    <x v="3"/>
    <n v="1046000"/>
    <n v="9.25"/>
    <s v="2023-03-20"/>
    <s v="Paid"/>
    <x v="2"/>
    <s v="Amal"/>
    <n v="88800"/>
  </r>
  <r>
    <s v="C0007"/>
    <s v="Dinuka"/>
    <s v="Kandy"/>
    <x v="4"/>
    <n v="359000"/>
    <n v="12.5"/>
    <s v="2023-04-02"/>
    <s v="Paid"/>
    <x v="0"/>
    <s v="Dinesh"/>
    <n v="96100"/>
  </r>
  <r>
    <s v="C0008"/>
    <s v="Ishara"/>
    <s v="Kurunegala"/>
    <x v="0"/>
    <n v="676000"/>
    <n v="10.25"/>
    <s v="2023-04-15"/>
    <s v="Overdue"/>
    <x v="1"/>
    <s v="Tharushi"/>
    <n v="103400"/>
  </r>
  <r>
    <s v="C0009"/>
    <s v="Ruwan"/>
    <s v="Colombo"/>
    <x v="1"/>
    <n v="271000"/>
    <n v="8"/>
    <s v="2023-04-28"/>
    <s v="Active"/>
    <x v="0"/>
    <s v="Nisha"/>
    <n v="110700"/>
  </r>
  <r>
    <s v="C0010"/>
    <s v="Saman"/>
    <s v="Negombo"/>
    <x v="0"/>
    <n v="770000"/>
    <n v="9.5"/>
    <s v="2023-05-11"/>
    <s v="Overdue"/>
    <x v="1"/>
    <s v="Ishara"/>
    <n v="118000"/>
  </r>
  <r>
    <s v="C0011"/>
    <s v="Sachini"/>
    <s v="Jaffna"/>
    <x v="1"/>
    <n v="309000"/>
    <n v="7.25"/>
    <s v="2023-05-24"/>
    <s v="Paid"/>
    <x v="2"/>
    <s v="Tharushi"/>
    <n v="125300"/>
  </r>
  <r>
    <s v="C0012"/>
    <s v="Ravindu"/>
    <s v="Galle"/>
    <x v="2"/>
    <n v="4076000"/>
    <n v="8"/>
    <s v="2023-06-06"/>
    <s v="Paid"/>
    <x v="0"/>
    <s v="Nisha"/>
    <n v="132600"/>
  </r>
  <r>
    <s v="C0013"/>
    <s v="Pavani"/>
    <s v="Matara"/>
    <x v="3"/>
    <n v="1683000"/>
    <n v="9.75"/>
    <s v="2023-06-19"/>
    <s v="Paid"/>
    <x v="1"/>
    <s v="Ishara"/>
    <n v="139900"/>
  </r>
  <r>
    <s v="C0014"/>
    <s v="Chathura"/>
    <s v="Galle"/>
    <x v="4"/>
    <n v="618000"/>
    <n v="13"/>
    <s v="2023-07-02"/>
    <s v="Active"/>
    <x v="2"/>
    <s v="Tharushi"/>
    <n v="147200"/>
  </r>
  <r>
    <s v="C0015"/>
    <s v="Sunil"/>
    <s v="Matara"/>
    <x v="3"/>
    <n v="1865000"/>
    <n v="9"/>
    <s v="2023-07-15"/>
    <s v="Active"/>
    <x v="0"/>
    <s v="Nisha"/>
    <n v="154500"/>
  </r>
  <r>
    <s v="C0016"/>
    <s v="Malith"/>
    <s v="Kandy"/>
    <x v="4"/>
    <n v="692000"/>
    <n v="12.25"/>
    <s v="2023-07-28"/>
    <s v="Overdue"/>
    <x v="1"/>
    <s v="Amal"/>
    <n v="161800"/>
  </r>
  <r>
    <s v="C0017"/>
    <s v="Sewmi"/>
    <s v="Kurunegala"/>
    <x v="0"/>
    <n v="1099000"/>
    <n v="10"/>
    <s v="2023-08-10"/>
    <s v="Active"/>
    <x v="2"/>
    <s v="Dinesh"/>
    <n v="169100"/>
  </r>
  <r>
    <s v="C0018"/>
    <s v="Dilan"/>
    <s v="Colombo"/>
    <x v="1"/>
    <n v="442000"/>
    <n v="7.75"/>
    <s v="2023-08-23"/>
    <s v="Overdue"/>
    <x v="1"/>
    <s v="Ravi"/>
    <n v="176400"/>
  </r>
  <r>
    <s v="C0019"/>
    <s v="Nimal"/>
    <s v="Negombo"/>
    <x v="2"/>
    <n v="5287000"/>
    <n v="8.5"/>
    <s v="2023-09-05"/>
    <s v="Active"/>
    <x v="2"/>
    <s v="Amal"/>
    <n v="183700"/>
  </r>
  <r>
    <s v="C0020"/>
    <s v="Kumari"/>
    <s v="Jaffna"/>
    <x v="1"/>
    <n v="480000"/>
    <n v="7"/>
    <s v="2023-09-18"/>
    <s v="Active"/>
    <x v="0"/>
    <s v="Dinesh"/>
    <n v="191000"/>
  </r>
  <r>
    <s v="C0021"/>
    <s v="Hasini"/>
    <s v="Negombo"/>
    <x v="2"/>
    <n v="5633000"/>
    <n v="7.75"/>
    <s v="2023-10-01"/>
    <s v="Paid"/>
    <x v="1"/>
    <s v="Ravi"/>
    <n v="198300"/>
  </r>
  <r>
    <s v="C0022"/>
    <s v="Ishara"/>
    <s v="Jaffna"/>
    <x v="3"/>
    <n v="2502000"/>
    <n v="9.5"/>
    <s v="2023-10-14"/>
    <s v="Active"/>
    <x v="2"/>
    <s v="Amal"/>
    <n v="205600"/>
  </r>
  <r>
    <s v="C0023"/>
    <s v="Ruwan"/>
    <s v="Galle"/>
    <x v="4"/>
    <n v="951000"/>
    <n v="12.75"/>
    <s v="2023-10-27"/>
    <s v="Paid"/>
    <x v="0"/>
    <s v="Dinesh"/>
    <n v="212900"/>
  </r>
  <r>
    <s v="C0024"/>
    <s v="Saman"/>
    <s v="Matara"/>
    <x v="0"/>
    <n v="1428000"/>
    <n v="10.5"/>
    <s v="2023-11-09"/>
    <s v="Overdue"/>
    <x v="1"/>
    <s v="Tharushi"/>
    <n v="220200"/>
  </r>
  <r>
    <s v="C0025"/>
    <s v="Tharindu"/>
    <s v="Kandy"/>
    <x v="4"/>
    <n v="1025000"/>
    <n v="12"/>
    <s v="2023-11-22"/>
    <s v="Paid"/>
    <x v="2"/>
    <s v="Nisha"/>
    <n v="227500"/>
  </r>
  <r>
    <s v="C0026"/>
    <s v="Piumi"/>
    <s v="Kurunegala"/>
    <x v="0"/>
    <n v="1522000"/>
    <n v="9.75"/>
    <s v="2023-12-05"/>
    <s v="Overdue"/>
    <x v="0"/>
    <s v="Ishara"/>
    <n v="234800"/>
  </r>
  <r>
    <s v="C0027"/>
    <s v="Chamath"/>
    <s v="Colombo"/>
    <x v="1"/>
    <n v="613000"/>
    <n v="7.5"/>
    <s v="2023-12-18"/>
    <s v="Active"/>
    <x v="2"/>
    <s v="Tharushi"/>
    <n v="242100"/>
  </r>
  <r>
    <s v="C0028"/>
    <s v="Shalini"/>
    <s v="Kurunegala"/>
    <x v="2"/>
    <n v="6844000"/>
    <n v="8.25"/>
    <s v="2023-12-31"/>
    <s v="Paid"/>
    <x v="0"/>
    <s v="Nisha"/>
    <n v="249400"/>
  </r>
  <r>
    <s v="C0029"/>
    <s v="Amara"/>
    <s v="Colombo"/>
    <x v="3"/>
    <n v="3139000"/>
    <n v="10"/>
    <s v="2024-01-13"/>
    <s v="Paid"/>
    <x v="1"/>
    <s v="Ishara"/>
    <n v="256700"/>
  </r>
  <r>
    <s v="C0030"/>
    <s v="Sachini"/>
    <s v="Negombo"/>
    <x v="2"/>
    <n v="7190000"/>
    <n v="7.5"/>
    <s v="2024-01-26"/>
    <s v="Paid"/>
    <x v="2"/>
    <s v="Tharushi"/>
    <n v="264000"/>
  </r>
  <r>
    <s v="C0031"/>
    <s v="Ravindu"/>
    <s v="Jaffna"/>
    <x v="3"/>
    <n v="3321000"/>
    <n v="9.25"/>
    <s v="2024-02-08"/>
    <s v="Overdue"/>
    <x v="0"/>
    <s v="Nisha"/>
    <n v="271300"/>
  </r>
  <r>
    <s v="C0032"/>
    <s v="Pavani"/>
    <s v="Galle"/>
    <x v="4"/>
    <n v="1284000"/>
    <n v="12.5"/>
    <s v="2024-02-21"/>
    <s v="Overdue"/>
    <x v="1"/>
    <s v="Amal"/>
    <n v="278600"/>
  </r>
  <r>
    <s v="C0033"/>
    <s v="Nimal"/>
    <s v="Matara"/>
    <x v="0"/>
    <n v="1851000"/>
    <n v="10.25"/>
    <s v="2024-03-05"/>
    <s v="Overdue"/>
    <x v="2"/>
    <s v="Dinesh"/>
    <n v="285900"/>
  </r>
  <r>
    <s v="C0034"/>
    <s v="Kumari"/>
    <s v="Kandy"/>
    <x v="1"/>
    <n v="746000"/>
    <n v="8"/>
    <s v="2024-03-18"/>
    <s v="Active"/>
    <x v="0"/>
    <s v="Ravi"/>
    <n v="293200"/>
  </r>
  <r>
    <s v="C0035"/>
    <s v="Hasini"/>
    <s v="Matara"/>
    <x v="0"/>
    <n v="1945000"/>
    <n v="9.5"/>
    <s v="2024-03-31"/>
    <s v="Active"/>
    <x v="1"/>
    <s v="Amal"/>
    <n v="300500"/>
  </r>
  <r>
    <s v="C0036"/>
    <s v="Kasun"/>
    <s v="Kandy"/>
    <x v="1"/>
    <n v="784000"/>
    <n v="7.25"/>
    <s v="2024-04-13"/>
    <s v="Overdue"/>
    <x v="0"/>
    <s v="Dinesh"/>
    <n v="307800"/>
  </r>
  <r>
    <s v="C0037"/>
    <s v="Madhavi"/>
    <s v="Kurunegala"/>
    <x v="2"/>
    <n v="8401000"/>
    <n v="8"/>
    <s v="2024-04-26"/>
    <s v="Paid"/>
    <x v="1"/>
    <s v="Ravi"/>
    <n v="315100"/>
  </r>
  <r>
    <s v="C0038"/>
    <s v="Kamal"/>
    <s v="Colombo"/>
    <x v="3"/>
    <n v="3958000"/>
    <n v="9.75"/>
    <s v="2024-05-09"/>
    <s v="Overdue"/>
    <x v="2"/>
    <s v="Amal"/>
    <n v="322400"/>
  </r>
  <r>
    <s v="C0039"/>
    <s v="Nadeesha"/>
    <s v="Negombo"/>
    <x v="4"/>
    <n v="1543000"/>
    <n v="13"/>
    <s v="2024-05-22"/>
    <s v="Active"/>
    <x v="0"/>
    <s v="Dinesh"/>
    <n v="329700"/>
  </r>
  <r>
    <s v="C0040"/>
    <s v="Dinuka"/>
    <s v="Jaffna"/>
    <x v="3"/>
    <n v="4140000"/>
    <n v="9"/>
    <s v="2024-06-04"/>
    <s v="Overdue"/>
    <x v="1"/>
    <s v="Tharushi"/>
    <n v="337000"/>
  </r>
  <r>
    <s v="C0041"/>
    <s v="Ishara"/>
    <s v="Galle"/>
    <x v="4"/>
    <n v="1617000"/>
    <n v="12.25"/>
    <s v="2024-06-17"/>
    <s v="Paid"/>
    <x v="2"/>
    <s v="Nisha"/>
    <n v="344300"/>
  </r>
  <r>
    <s v="C0042"/>
    <s v="Ruwan"/>
    <s v="Jaffna"/>
    <x v="0"/>
    <n v="2274000"/>
    <n v="10"/>
    <s v="2024-06-30"/>
    <s v="Paid"/>
    <x v="0"/>
    <s v="Ishara"/>
    <n v="351600"/>
  </r>
  <r>
    <s v="C0043"/>
    <s v="Saman"/>
    <s v="Galle"/>
    <x v="1"/>
    <n v="917000"/>
    <n v="7.75"/>
    <s v="2024-07-13"/>
    <s v="Active"/>
    <x v="1"/>
    <s v="Tharushi"/>
    <n v="358900"/>
  </r>
  <r>
    <s v="C0044"/>
    <s v="Sachini"/>
    <s v="Matara"/>
    <x v="2"/>
    <n v="9612000"/>
    <n v="8.5"/>
    <s v="2024-07-26"/>
    <s v="Active"/>
    <x v="2"/>
    <s v="Nisha"/>
    <n v="366200"/>
  </r>
  <r>
    <s v="C0045"/>
    <s v="Ravindu"/>
    <s v="Kandy"/>
    <x v="1"/>
    <n v="955000"/>
    <n v="7"/>
    <s v="2024-08-08"/>
    <s v="Paid"/>
    <x v="1"/>
    <s v="Ishara"/>
    <n v="373500"/>
  </r>
  <r>
    <s v="C0046"/>
    <s v="Pavani"/>
    <s v="Kurunegala"/>
    <x v="2"/>
    <n v="9958000"/>
    <n v="7.75"/>
    <s v="2024-08-21"/>
    <s v="Paid"/>
    <x v="2"/>
    <s v="Tharushi"/>
    <n v="380800"/>
  </r>
  <r>
    <s v="C0047"/>
    <s v="Chathura"/>
    <s v="Colombo"/>
    <x v="3"/>
    <n v="4777000"/>
    <n v="9.5"/>
    <s v="2024-09-03"/>
    <s v="Paid"/>
    <x v="0"/>
    <s v="Nisha"/>
    <n v="388100"/>
  </r>
  <r>
    <s v="C0048"/>
    <s v="Sunil"/>
    <s v="Negombo"/>
    <x v="4"/>
    <n v="1876000"/>
    <n v="12.75"/>
    <s v="2024-09-16"/>
    <s v="Overdue"/>
    <x v="1"/>
    <s v="Amal"/>
    <n v="395400"/>
  </r>
  <r>
    <s v="C0049"/>
    <s v="Malith"/>
    <s v="Colombo"/>
    <x v="0"/>
    <n v="2603000"/>
    <n v="10.5"/>
    <s v="2024-09-29"/>
    <s v="Active"/>
    <x v="2"/>
    <s v="Dinesh"/>
    <n v="402700"/>
  </r>
  <r>
    <s v="C0050"/>
    <s v="Sewmi"/>
    <s v="Negombo"/>
    <x v="4"/>
    <n v="1950000"/>
    <n v="12"/>
    <s v="2024-10-12"/>
    <s v="Active"/>
    <x v="0"/>
    <s v="Ravi"/>
    <n v="410000"/>
  </r>
  <r>
    <s v="C0051"/>
    <s v="Dilan"/>
    <s v="Jaffna"/>
    <x v="0"/>
    <n v="2697000"/>
    <n v="9.75"/>
    <s v="2024-10-25"/>
    <s v="Active"/>
    <x v="1"/>
    <s v="Amal"/>
    <n v="417300"/>
  </r>
  <r>
    <s v="C0052"/>
    <s v="Nimal"/>
    <s v="Galle"/>
    <x v="1"/>
    <n v="1088000"/>
    <n v="7.5"/>
    <s v="2024-11-07"/>
    <s v="Active"/>
    <x v="2"/>
    <s v="Dinesh"/>
    <n v="424600"/>
  </r>
  <r>
    <s v="C0053"/>
    <s v="Kumari"/>
    <s v="Matara"/>
    <x v="2"/>
    <n v="3169000"/>
    <n v="8.25"/>
    <s v="2024-11-20"/>
    <s v="Paid"/>
    <x v="0"/>
    <s v="Ravi"/>
    <n v="431900"/>
  </r>
  <r>
    <s v="C0054"/>
    <s v="Hasini"/>
    <s v="Kandy"/>
    <x v="3"/>
    <n v="5414000"/>
    <n v="10"/>
    <s v="2024-12-03"/>
    <s v="Active"/>
    <x v="2"/>
    <s v="Amal"/>
    <n v="439200"/>
  </r>
  <r>
    <s v="C0055"/>
    <s v="Ishara"/>
    <s v="Kurunegala"/>
    <x v="2"/>
    <n v="3515000"/>
    <n v="7.5"/>
    <s v="2024-12-16"/>
    <s v="Active"/>
    <x v="0"/>
    <s v="Dinesh"/>
    <n v="46500"/>
  </r>
  <r>
    <s v="C0056"/>
    <s v="Ruwan"/>
    <s v="Kandy"/>
    <x v="3"/>
    <n v="5596000"/>
    <n v="9.25"/>
    <s v="2024-12-29"/>
    <s v="Overdue"/>
    <x v="1"/>
    <s v="Tharushi"/>
    <n v="53800"/>
  </r>
  <r>
    <s v="C0057"/>
    <s v="Saman"/>
    <s v="Kurunegala"/>
    <x v="4"/>
    <n v="2209000"/>
    <n v="12.5"/>
    <s v="2025-01-11"/>
    <s v="Active"/>
    <x v="2"/>
    <s v="Nisha"/>
    <n v="61100"/>
  </r>
  <r>
    <s v="C0058"/>
    <s v="Tharindu"/>
    <s v="Colombo"/>
    <x v="0"/>
    <n v="3026000"/>
    <n v="10.25"/>
    <s v="2025-01-24"/>
    <s v="Paid"/>
    <x v="0"/>
    <s v="Ishara"/>
    <n v="68400"/>
  </r>
  <r>
    <s v="C0059"/>
    <s v="Piumi"/>
    <s v="Negombo"/>
    <x v="1"/>
    <n v="1221000"/>
    <n v="8"/>
    <s v="2025-02-06"/>
    <s v="Active"/>
    <x v="1"/>
    <s v="Tharushi"/>
    <n v="75700"/>
  </r>
  <r>
    <s v="C0060"/>
    <s v="Chamath"/>
    <s v="Jaffna"/>
    <x v="0"/>
    <n v="3120000"/>
    <n v="9.5"/>
    <s v="2025-02-19"/>
    <s v="Paid"/>
    <x v="2"/>
    <s v="Nisha"/>
    <n v="83000"/>
  </r>
  <r>
    <s v="C0061"/>
    <s v="Shalini"/>
    <s v="Galle"/>
    <x v="1"/>
    <n v="1259000"/>
    <n v="7.25"/>
    <s v="2025-03-04"/>
    <s v="Overdue"/>
    <x v="0"/>
    <s v="Ishara"/>
    <n v="90300"/>
  </r>
  <r>
    <s v="C0062"/>
    <s v="Amara"/>
    <s v="Matara"/>
    <x v="2"/>
    <n v="4726000"/>
    <n v="8"/>
    <s v="2025-03-17"/>
    <s v="Overdue"/>
    <x v="1"/>
    <s v="Tharushi"/>
    <n v="97600"/>
  </r>
  <r>
    <s v="C0063"/>
    <s v="Sachini"/>
    <s v="Galle"/>
    <x v="3"/>
    <n v="6233000"/>
    <n v="9.75"/>
    <s v="2025-03-30"/>
    <s v="Paid"/>
    <x v="0"/>
    <s v="Nisha"/>
    <n v="104900"/>
  </r>
  <r>
    <s v="C0064"/>
    <s v="Ravindu"/>
    <s v="Matara"/>
    <x v="4"/>
    <n v="2468000"/>
    <n v="13"/>
    <s v="2025-04-12"/>
    <s v="Overdue"/>
    <x v="1"/>
    <s v="Amal"/>
    <n v="112200"/>
  </r>
  <r>
    <s v="C0065"/>
    <s v="Pavani"/>
    <s v="Kandy"/>
    <x v="3"/>
    <n v="6415000"/>
    <n v="9"/>
    <s v="2025-04-25"/>
    <s v="Paid"/>
    <x v="2"/>
    <s v="Dinesh"/>
    <n v="119500"/>
  </r>
  <r>
    <s v="C0066"/>
    <s v="Nimal"/>
    <s v="Kurunegala"/>
    <x v="4"/>
    <n v="2542000"/>
    <n v="12.25"/>
    <s v="2025-05-08"/>
    <s v="Overdue"/>
    <x v="0"/>
    <s v="Ravi"/>
    <n v="126800"/>
  </r>
  <r>
    <s v="C0067"/>
    <s v="Kumari"/>
    <s v="Colombo"/>
    <x v="0"/>
    <n v="449000"/>
    <n v="10"/>
    <s v="2025-05-21"/>
    <s v="Active"/>
    <x v="1"/>
    <s v="Amal"/>
    <n v="134100"/>
  </r>
  <r>
    <s v="C0068"/>
    <s v="Hasini"/>
    <s v="Negombo"/>
    <x v="1"/>
    <n v="1392000"/>
    <n v="7.75"/>
    <s v="2025-06-03"/>
    <s v="Overdue"/>
    <x v="2"/>
    <s v="Dinesh"/>
    <n v="141400"/>
  </r>
  <r>
    <s v="C0069"/>
    <s v="Kasun"/>
    <s v="Jaffna"/>
    <x v="2"/>
    <n v="5937000"/>
    <n v="8.5"/>
    <s v="2025-06-16"/>
    <s v="Active"/>
    <x v="0"/>
    <s v="Ravi"/>
    <n v="148700"/>
  </r>
  <r>
    <s v="C0070"/>
    <s v="Madhavi"/>
    <s v="Negombo"/>
    <x v="1"/>
    <n v="1430000"/>
    <n v="7"/>
    <s v="2025-06-29"/>
    <s v="Overdue"/>
    <x v="1"/>
    <s v="Amal"/>
    <n v="156000"/>
  </r>
  <r>
    <s v="C0071"/>
    <s v="Kamal"/>
    <s v="Jaffna"/>
    <x v="2"/>
    <n v="6283000"/>
    <n v="7.75"/>
    <s v="2025-07-12"/>
    <s v="Paid"/>
    <x v="2"/>
    <s v="Dinesh"/>
    <n v="163300"/>
  </r>
  <r>
    <s v="C0072"/>
    <s v="Nadeesha"/>
    <s v="Galle"/>
    <x v="3"/>
    <n v="1052000"/>
    <n v="9.5"/>
    <s v="2025-07-25"/>
    <s v="Overdue"/>
    <x v="1"/>
    <s v="Tharushi"/>
    <n v="170600"/>
  </r>
  <r>
    <s v="C0073"/>
    <s v="Dinuka"/>
    <s v="Matara"/>
    <x v="4"/>
    <n v="301000"/>
    <n v="12.75"/>
    <s v="2025-08-07"/>
    <s v="Overdue"/>
    <x v="2"/>
    <s v="Nisha"/>
    <n v="177900"/>
  </r>
  <r>
    <s v="C0074"/>
    <s v="Ishara"/>
    <s v="Kandy"/>
    <x v="0"/>
    <n v="778000"/>
    <n v="10.5"/>
    <s v="2025-08-20"/>
    <s v="Active"/>
    <x v="0"/>
    <s v="Ishara"/>
    <n v="185200"/>
  </r>
  <r>
    <s v="C0075"/>
    <s v="Ruwan"/>
    <s v="Kurunegala"/>
    <x v="4"/>
    <n v="375000"/>
    <n v="12"/>
    <s v="2025-09-02"/>
    <s v="Active"/>
    <x v="1"/>
    <s v="Tharushi"/>
    <n v="192500"/>
  </r>
  <r>
    <s v="C0076"/>
    <s v="Saman"/>
    <s v="Colombo"/>
    <x v="0"/>
    <n v="872000"/>
    <n v="9.75"/>
    <s v="2025-09-15"/>
    <s v="Paid"/>
    <x v="2"/>
    <s v="Nisha"/>
    <n v="199800"/>
  </r>
  <r>
    <s v="C0077"/>
    <s v="Sachini"/>
    <s v="Kurunegala"/>
    <x v="1"/>
    <n v="1563000"/>
    <n v="7.5"/>
    <s v="2025-09-28"/>
    <s v="Paid"/>
    <x v="0"/>
    <s v="Ishara"/>
    <n v="207100"/>
  </r>
  <r>
    <s v="C0078"/>
    <s v="Ravindu"/>
    <s v="Colombo"/>
    <x v="2"/>
    <n v="7494000"/>
    <n v="8.25"/>
    <s v="2025-10-11"/>
    <s v="Overdue"/>
    <x v="1"/>
    <s v="Tharushi"/>
    <n v="214400"/>
  </r>
  <r>
    <s v="C0079"/>
    <s v="Pavani"/>
    <s v="Negombo"/>
    <x v="3"/>
    <n v="1689000"/>
    <n v="10"/>
    <s v="2025-10-24"/>
    <s v="Active"/>
    <x v="2"/>
    <s v="Nisha"/>
    <n v="221700"/>
  </r>
  <r>
    <s v="C0080"/>
    <s v="Chathura"/>
    <s v="Jaffna"/>
    <x v="2"/>
    <n v="7840000"/>
    <n v="7.5"/>
    <s v="2025-11-06"/>
    <s v="Active"/>
    <x v="0"/>
    <s v="Amal"/>
    <n v="229000"/>
  </r>
  <r>
    <s v="C0081"/>
    <s v="Sunil"/>
    <s v="Galle"/>
    <x v="3"/>
    <n v="1871000"/>
    <n v="9.25"/>
    <s v="2025-11-19"/>
    <s v="Paid"/>
    <x v="2"/>
    <s v="Dinesh"/>
    <n v="236300"/>
  </r>
  <r>
    <s v="C0082"/>
    <s v="Malith"/>
    <s v="Matara"/>
    <x v="4"/>
    <n v="634000"/>
    <n v="12.5"/>
    <s v="2025-12-02"/>
    <s v="Paid"/>
    <x v="0"/>
    <s v="Ravi"/>
    <n v="243600"/>
  </r>
  <r>
    <s v="C0083"/>
    <s v="Sewmi"/>
    <s v="Kandy"/>
    <x v="0"/>
    <n v="1201000"/>
    <n v="10.25"/>
    <s v="2025-12-15"/>
    <s v="Active"/>
    <x v="1"/>
    <s v="Amal"/>
    <n v="250900"/>
  </r>
  <r>
    <s v="C0084"/>
    <s v="Dilan"/>
    <s v="Matara"/>
    <x v="1"/>
    <n v="196000"/>
    <n v="8"/>
    <s v="2025-12-28"/>
    <s v="Active"/>
    <x v="2"/>
    <s v="Dinesh"/>
    <n v="258200"/>
  </r>
  <r>
    <s v="C0085"/>
    <s v="Nimal"/>
    <s v="Kandy"/>
    <x v="0"/>
    <n v="1295000"/>
    <n v="9.5"/>
    <s v="2026-01-10"/>
    <s v="Active"/>
    <x v="0"/>
    <s v="Ravi"/>
    <n v="265500"/>
  </r>
  <r>
    <s v="C0086"/>
    <s v="Kumari"/>
    <s v="Kurunegala"/>
    <x v="1"/>
    <n v="234000"/>
    <n v="7.25"/>
    <s v="2026-01-23"/>
    <s v="Overdue"/>
    <x v="1"/>
    <s v="Amal"/>
    <n v="272800"/>
  </r>
  <r>
    <s v="C0087"/>
    <s v="Hasini"/>
    <s v="Colombo"/>
    <x v="2"/>
    <n v="9051000"/>
    <n v="8"/>
    <s v="2026-02-05"/>
    <s v="Active"/>
    <x v="2"/>
    <s v="Dinesh"/>
    <n v="280100"/>
  </r>
  <r>
    <s v="C0088"/>
    <s v="Ishara"/>
    <s v="Negombo"/>
    <x v="3"/>
    <n v="2508000"/>
    <n v="9.75"/>
    <s v="2026-02-18"/>
    <s v="Paid"/>
    <x v="0"/>
    <s v="Tharushi"/>
    <n v="287400"/>
  </r>
  <r>
    <s v="C0089"/>
    <s v="Ruwan"/>
    <s v="Jaffna"/>
    <x v="4"/>
    <n v="893000"/>
    <n v="13"/>
    <s v="2026-03-03"/>
    <s v="Paid"/>
    <x v="1"/>
    <s v="Nisha"/>
    <n v="294700"/>
  </r>
  <r>
    <s v="C0090"/>
    <s v="Saman"/>
    <s v="Galle"/>
    <x v="3"/>
    <n v="2690000"/>
    <n v="9"/>
    <s v="2026-03-16"/>
    <s v="Active"/>
    <x v="0"/>
    <s v="Ishara"/>
    <n v="302000"/>
  </r>
  <r>
    <s v="C0091"/>
    <s v="Tharindu"/>
    <s v="Jaffna"/>
    <x v="4"/>
    <n v="967000"/>
    <n v="12.25"/>
    <s v="2026-03-29"/>
    <s v="Active"/>
    <x v="1"/>
    <s v="Tharushi"/>
    <n v="309300"/>
  </r>
  <r>
    <s v="C0092"/>
    <s v="Piumi"/>
    <s v="Galle"/>
    <x v="0"/>
    <n v="1624000"/>
    <n v="10"/>
    <s v="2026-04-11"/>
    <s v="Active"/>
    <x v="2"/>
    <s v="Nisha"/>
    <n v="316600"/>
  </r>
  <r>
    <s v="C0093"/>
    <s v="Chamath"/>
    <s v="Matara"/>
    <x v="1"/>
    <n v="367000"/>
    <n v="7.75"/>
    <s v="2026-04-24"/>
    <s v="Paid"/>
    <x v="0"/>
    <s v="Ishara"/>
    <n v="323900"/>
  </r>
  <r>
    <s v="C0094"/>
    <s v="Shalini"/>
    <s v="Kandy"/>
    <x v="2"/>
    <n v="2262000"/>
    <n v="8.5"/>
    <s v="2026-05-07"/>
    <s v="Overdue"/>
    <x v="1"/>
    <s v="Tharushi"/>
    <n v="331200"/>
  </r>
  <r>
    <s v="C0095"/>
    <s v="Amara"/>
    <s v="Kurunegala"/>
    <x v="1"/>
    <n v="405000"/>
    <n v="7"/>
    <s v="2026-05-20"/>
    <s v="Paid"/>
    <x v="2"/>
    <s v="Nisha"/>
    <n v="338500"/>
  </r>
  <r>
    <s v="C0096"/>
    <s v="Sachini"/>
    <s v="Colombo"/>
    <x v="2"/>
    <n v="2608000"/>
    <n v="7.75"/>
    <s v="2026-06-02"/>
    <s v="Overdue"/>
    <x v="0"/>
    <s v="Amal"/>
    <n v="345800"/>
  </r>
  <r>
    <s v="C0097"/>
    <s v="Ravindu"/>
    <s v="Negombo"/>
    <x v="3"/>
    <n v="3327000"/>
    <n v="9.5"/>
    <s v="2026-06-15"/>
    <s v="Paid"/>
    <x v="1"/>
    <s v="Dinesh"/>
    <n v="353100"/>
  </r>
  <r>
    <s v="C0098"/>
    <s v="Pavani"/>
    <s v="Colombo"/>
    <x v="4"/>
    <n v="1226000"/>
    <n v="12.75"/>
    <s v="2026-06-28"/>
    <s v="Overdue"/>
    <x v="2"/>
    <s v="Ravi"/>
    <n v="360400"/>
  </r>
  <r>
    <s v="C0099"/>
    <s v="Nimal"/>
    <s v="Negombo"/>
    <x v="0"/>
    <n v="1953000"/>
    <n v="10.5"/>
    <s v="2026-07-11"/>
    <s v="Active"/>
    <x v="1"/>
    <s v="Amal"/>
    <n v="367700"/>
  </r>
  <r>
    <s v="C0100"/>
    <s v="Kumari"/>
    <s v="Jaffna"/>
    <x v="4"/>
    <n v="1300000"/>
    <n v="12"/>
    <s v="2026-07-24"/>
    <s v="Paid"/>
    <x v="2"/>
    <s v="Dinesh"/>
    <n v="375000"/>
  </r>
  <r>
    <s v="C0101"/>
    <s v="Hasini"/>
    <s v="Galle"/>
    <x v="0"/>
    <n v="2047000"/>
    <n v="9.75"/>
    <s v="2026-08-06"/>
    <s v="Overdue"/>
    <x v="0"/>
    <s v="Ravi"/>
    <n v="382300"/>
  </r>
  <r>
    <s v="C0102"/>
    <s v="Kasun"/>
    <s v="Matara"/>
    <x v="1"/>
    <n v="538000"/>
    <n v="7.5"/>
    <s v="2026-08-19"/>
    <s v="Overdue"/>
    <x v="1"/>
    <s v="Amal"/>
    <n v="389600"/>
  </r>
  <r>
    <s v="C0103"/>
    <s v="Madhavi"/>
    <s v="Kandy"/>
    <x v="2"/>
    <n v="3819000"/>
    <n v="8.25"/>
    <s v="2026-09-01"/>
    <s v="Overdue"/>
    <x v="2"/>
    <s v="Dinesh"/>
    <n v="396900"/>
  </r>
  <r>
    <s v="C0104"/>
    <s v="Kamal"/>
    <s v="Kurunegala"/>
    <x v="3"/>
    <n v="3964000"/>
    <n v="10"/>
    <s v="2026-09-14"/>
    <s v="Active"/>
    <x v="0"/>
    <s v="Tharushi"/>
    <n v="404200"/>
  </r>
  <r>
    <s v="C0105"/>
    <s v="Nadeesha"/>
    <s v="Kandy"/>
    <x v="2"/>
    <n v="4165000"/>
    <n v="7.5"/>
    <s v="2023-01-06"/>
    <s v="Paid"/>
    <x v="1"/>
    <s v="Nisha"/>
    <n v="411500"/>
  </r>
  <r>
    <s v="C0106"/>
    <s v="Dinuka"/>
    <s v="Kurunegala"/>
    <x v="3"/>
    <n v="4146000"/>
    <n v="9.25"/>
    <s v="2023-01-19"/>
    <s v="Paid"/>
    <x v="2"/>
    <s v="Ishara"/>
    <n v="418800"/>
  </r>
  <r>
    <s v="C0107"/>
    <s v="Ishara"/>
    <s v="Colombo"/>
    <x v="4"/>
    <n v="1559000"/>
    <n v="12.5"/>
    <s v="2023-02-01"/>
    <s v="Paid"/>
    <x v="0"/>
    <s v="Tharushi"/>
    <n v="426100"/>
  </r>
  <r>
    <s v="C0108"/>
    <s v="Ruwan"/>
    <s v="Negombo"/>
    <x v="0"/>
    <n v="2376000"/>
    <n v="10.25"/>
    <s v="2023-02-14"/>
    <s v="Overdue"/>
    <x v="2"/>
    <s v="Nisha"/>
    <n v="433400"/>
  </r>
  <r>
    <s v="C0109"/>
    <s v="Saman"/>
    <s v="Jaffna"/>
    <x v="1"/>
    <n v="671000"/>
    <n v="8"/>
    <s v="2023-02-27"/>
    <s v="Active"/>
    <x v="0"/>
    <s v="Ishara"/>
    <n v="440700"/>
  </r>
  <r>
    <s v="C0110"/>
    <s v="Sachini"/>
    <s v="Galle"/>
    <x v="0"/>
    <n v="2470000"/>
    <n v="9.5"/>
    <s v="2023-03-12"/>
    <s v="Overdue"/>
    <x v="1"/>
    <s v="Tharushi"/>
    <n v="48000"/>
  </r>
  <r>
    <s v="C0111"/>
    <s v="Ravindu"/>
    <s v="Matara"/>
    <x v="1"/>
    <n v="709000"/>
    <n v="7.25"/>
    <s v="2023-03-25"/>
    <s v="Paid"/>
    <x v="2"/>
    <s v="Nisha"/>
    <n v="55300"/>
  </r>
  <r>
    <s v="C0112"/>
    <s v="Pavani"/>
    <s v="Galle"/>
    <x v="2"/>
    <n v="5376000"/>
    <n v="8"/>
    <s v="2023-04-07"/>
    <s v="Paid"/>
    <x v="0"/>
    <s v="Amal"/>
    <n v="62600"/>
  </r>
  <r>
    <s v="C0113"/>
    <s v="Chathura"/>
    <s v="Matara"/>
    <x v="3"/>
    <n v="4783000"/>
    <n v="9.75"/>
    <s v="2023-04-20"/>
    <s v="Paid"/>
    <x v="1"/>
    <s v="Dinesh"/>
    <n v="69900"/>
  </r>
  <r>
    <s v="C0114"/>
    <s v="Sunil"/>
    <s v="Kandy"/>
    <x v="4"/>
    <n v="1818000"/>
    <n v="13"/>
    <s v="2023-05-03"/>
    <s v="Active"/>
    <x v="2"/>
    <s v="Ravi"/>
    <n v="77200"/>
  </r>
  <r>
    <s v="C0115"/>
    <s v="Malith"/>
    <s v="Kurunegala"/>
    <x v="3"/>
    <n v="4965000"/>
    <n v="9"/>
    <s v="2023-05-16"/>
    <s v="Active"/>
    <x v="0"/>
    <s v="Amal"/>
    <n v="84500"/>
  </r>
  <r>
    <s v="C0116"/>
    <s v="Sewmi"/>
    <s v="Colombo"/>
    <x v="4"/>
    <n v="1892000"/>
    <n v="12.25"/>
    <s v="2023-05-29"/>
    <s v="Overdue"/>
    <x v="1"/>
    <s v="Dinesh"/>
    <n v="91800"/>
  </r>
  <r>
    <s v="C0117"/>
    <s v="Dilan"/>
    <s v="Negombo"/>
    <x v="0"/>
    <n v="2799000"/>
    <n v="10"/>
    <s v="2023-06-11"/>
    <s v="Paid"/>
    <x v="0"/>
    <s v="Ravi"/>
    <n v="99100"/>
  </r>
  <r>
    <s v="C0118"/>
    <s v="Nimal"/>
    <s v="Jaffna"/>
    <x v="1"/>
    <n v="842000"/>
    <n v="7.75"/>
    <s v="2023-06-24"/>
    <s v="Overdue"/>
    <x v="1"/>
    <s v="Amal"/>
    <n v="106400"/>
  </r>
  <r>
    <s v="C0119"/>
    <s v="Kumari"/>
    <s v="Negombo"/>
    <x v="2"/>
    <n v="6587000"/>
    <n v="8.5"/>
    <s v="2023-07-07"/>
    <s v="Active"/>
    <x v="2"/>
    <s v="Dinesh"/>
    <n v="113700"/>
  </r>
  <r>
    <s v="C0120"/>
    <s v="Hasini"/>
    <s v="Jaffna"/>
    <x v="1"/>
    <n v="880000"/>
    <n v="7"/>
    <s v="2023-07-20"/>
    <s v="Active"/>
    <x v="0"/>
    <s v="Tharushi"/>
    <n v="121000"/>
  </r>
  <r>
    <s v="C0121"/>
    <s v="Ishara"/>
    <s v="Galle"/>
    <x v="2"/>
    <n v="6933000"/>
    <n v="7.75"/>
    <s v="2023-08-02"/>
    <s v="Paid"/>
    <x v="1"/>
    <s v="Nisha"/>
    <n v="128300"/>
  </r>
  <r>
    <s v="C0122"/>
    <s v="Ruwan"/>
    <s v="Matara"/>
    <x v="3"/>
    <n v="5602000"/>
    <n v="9.5"/>
    <s v="2023-08-15"/>
    <s v="Active"/>
    <x v="2"/>
    <s v="Ishara"/>
    <n v="135600"/>
  </r>
  <r>
    <s v="C0123"/>
    <s v="Saman"/>
    <s v="Kandy"/>
    <x v="4"/>
    <n v="2151000"/>
    <n v="12.75"/>
    <s v="2023-08-28"/>
    <s v="Paid"/>
    <x v="0"/>
    <s v="Tharushi"/>
    <n v="142900"/>
  </r>
  <r>
    <s v="C0124"/>
    <s v="Tharindu"/>
    <s v="Kurunegala"/>
    <x v="0"/>
    <n v="3128000"/>
    <n v="10.5"/>
    <s v="2023-09-10"/>
    <s v="Overdue"/>
    <x v="1"/>
    <s v="Nisha"/>
    <n v="150200"/>
  </r>
  <r>
    <s v="C0125"/>
    <s v="Piumi"/>
    <s v="Colombo"/>
    <x v="4"/>
    <n v="2225000"/>
    <n v="12"/>
    <s v="2023-09-23"/>
    <s v="Paid"/>
    <x v="2"/>
    <s v="Ishara"/>
    <n v="157500"/>
  </r>
  <r>
    <s v="C0126"/>
    <s v="Chamath"/>
    <s v="Kurunegala"/>
    <x v="0"/>
    <n v="3222000"/>
    <n v="9.75"/>
    <s v="2023-10-06"/>
    <s v="Overdue"/>
    <x v="1"/>
    <s v="Tharushi"/>
    <n v="164800"/>
  </r>
  <r>
    <s v="C0127"/>
    <s v="Shalini"/>
    <s v="Colombo"/>
    <x v="1"/>
    <n v="1013000"/>
    <n v="7.5"/>
    <s v="2023-10-19"/>
    <s v="Active"/>
    <x v="2"/>
    <s v="Nisha"/>
    <n v="172100"/>
  </r>
  <r>
    <s v="C0128"/>
    <s v="Amara"/>
    <s v="Negombo"/>
    <x v="2"/>
    <n v="8144000"/>
    <n v="8.25"/>
    <s v="2023-11-01"/>
    <s v="Paid"/>
    <x v="0"/>
    <s v="Amal"/>
    <n v="179400"/>
  </r>
  <r>
    <s v="C0129"/>
    <s v="Sachini"/>
    <s v="Jaffna"/>
    <x v="3"/>
    <n v="6239000"/>
    <n v="10"/>
    <s v="2023-11-14"/>
    <s v="Paid"/>
    <x v="1"/>
    <s v="Dinesh"/>
    <n v="186700"/>
  </r>
  <r>
    <s v="C0130"/>
    <s v="Ravindu"/>
    <s v="Galle"/>
    <x v="2"/>
    <n v="8490000"/>
    <n v="7.5"/>
    <s v="2023-11-27"/>
    <s v="Paid"/>
    <x v="2"/>
    <s v="Ravi"/>
    <n v="194000"/>
  </r>
  <r>
    <s v="C0131"/>
    <s v="Pavani"/>
    <s v="Matara"/>
    <x v="3"/>
    <n v="6421000"/>
    <n v="9.25"/>
    <s v="2023-12-10"/>
    <s v="Overdue"/>
    <x v="0"/>
    <s v="Amal"/>
    <n v="201300"/>
  </r>
  <r>
    <s v="C0132"/>
    <s v="Nimal"/>
    <s v="Kandy"/>
    <x v="4"/>
    <n v="2484000"/>
    <n v="12.5"/>
    <s v="2023-12-23"/>
    <s v="Overdue"/>
    <x v="1"/>
    <s v="Dinesh"/>
    <n v="208600"/>
  </r>
  <r>
    <s v="C0133"/>
    <s v="Kumari"/>
    <s v="Matara"/>
    <x v="0"/>
    <n v="551000"/>
    <n v="10.25"/>
    <s v="2024-01-05"/>
    <s v="Overdue"/>
    <x v="2"/>
    <s v="Ravi"/>
    <n v="215900"/>
  </r>
  <r>
    <s v="C0134"/>
    <s v="Hasini"/>
    <s v="Kandy"/>
    <x v="1"/>
    <n v="1146000"/>
    <n v="8"/>
    <s v="2024-01-18"/>
    <s v="Active"/>
    <x v="0"/>
    <s v="Amal"/>
    <n v="223200"/>
  </r>
  <r>
    <s v="C0135"/>
    <s v="Kasun"/>
    <s v="Kurunegala"/>
    <x v="0"/>
    <n v="645000"/>
    <n v="9.5"/>
    <s v="2024-01-31"/>
    <s v="Paid"/>
    <x v="2"/>
    <s v="Dinesh"/>
    <n v="230500"/>
  </r>
  <r>
    <s v="C0136"/>
    <s v="Madhavi"/>
    <s v="Colombo"/>
    <x v="1"/>
    <n v="1184000"/>
    <n v="7.25"/>
    <s v="2024-02-13"/>
    <s v="Overdue"/>
    <x v="0"/>
    <s v="Tharushi"/>
    <n v="237800"/>
  </r>
  <r>
    <s v="C0137"/>
    <s v="Kamal"/>
    <s v="Negombo"/>
    <x v="2"/>
    <n v="9701000"/>
    <n v="8"/>
    <s v="2024-02-26"/>
    <s v="Paid"/>
    <x v="1"/>
    <s v="Nisha"/>
    <n v="245100"/>
  </r>
  <r>
    <s v="C0138"/>
    <s v="Nadeesha"/>
    <s v="Jaffna"/>
    <x v="3"/>
    <n v="1058000"/>
    <n v="9.75"/>
    <s v="2024-03-10"/>
    <s v="Overdue"/>
    <x v="2"/>
    <s v="Ishara"/>
    <n v="252400"/>
  </r>
  <r>
    <s v="C0139"/>
    <s v="Dinuka"/>
    <s v="Galle"/>
    <x v="4"/>
    <n v="243000"/>
    <n v="13"/>
    <s v="2024-03-23"/>
    <s v="Active"/>
    <x v="0"/>
    <s v="Tharushi"/>
    <n v="259700"/>
  </r>
  <r>
    <s v="C0140"/>
    <s v="Ishara"/>
    <s v="Jaffna"/>
    <x v="3"/>
    <n v="1240000"/>
    <n v="9"/>
    <s v="2024-04-05"/>
    <s v="Overdue"/>
    <x v="1"/>
    <s v="Nisha"/>
    <n v="267000"/>
  </r>
  <r>
    <s v="C0141"/>
    <s v="Ruwan"/>
    <s v="Galle"/>
    <x v="4"/>
    <n v="317000"/>
    <n v="12.25"/>
    <s v="2024-04-18"/>
    <s v="Paid"/>
    <x v="2"/>
    <s v="Ishara"/>
    <n v="274300"/>
  </r>
  <r>
    <s v="C0142"/>
    <s v="Saman"/>
    <s v="Matara"/>
    <x v="0"/>
    <n v="974000"/>
    <n v="10"/>
    <s v="2024-05-01"/>
    <s v="Paid"/>
    <x v="0"/>
    <s v="Tharushi"/>
    <n v="281600"/>
  </r>
  <r>
    <s v="C0143"/>
    <s v="Sachini"/>
    <s v="Kandy"/>
    <x v="1"/>
    <n v="1317000"/>
    <n v="7.75"/>
    <s v="2024-05-14"/>
    <s v="Active"/>
    <x v="1"/>
    <s v="Nisha"/>
    <n v="288900"/>
  </r>
  <r>
    <s v="C0144"/>
    <s v="Ravindu"/>
    <s v="Kurunegala"/>
    <x v="2"/>
    <n v="2912000"/>
    <n v="8.5"/>
    <s v="2024-05-27"/>
    <s v="Active"/>
    <x v="0"/>
    <s v="Amal"/>
    <n v="296200"/>
  </r>
  <r>
    <s v="C0145"/>
    <s v="Pavani"/>
    <s v="Colombo"/>
    <x v="1"/>
    <n v="1355000"/>
    <n v="7"/>
    <s v="2024-06-09"/>
    <s v="Paid"/>
    <x v="1"/>
    <s v="Dinesh"/>
    <n v="303500"/>
  </r>
  <r>
    <s v="C0146"/>
    <s v="Chathura"/>
    <s v="Negombo"/>
    <x v="2"/>
    <n v="3258000"/>
    <n v="7.75"/>
    <s v="2024-06-22"/>
    <s v="Paid"/>
    <x v="2"/>
    <s v="Ravi"/>
    <n v="310800"/>
  </r>
  <r>
    <s v="C0147"/>
    <s v="Sunil"/>
    <s v="Colombo"/>
    <x v="3"/>
    <n v="1877000"/>
    <n v="9.5"/>
    <s v="2024-07-05"/>
    <s v="Paid"/>
    <x v="0"/>
    <s v="Amal"/>
    <n v="318100"/>
  </r>
  <r>
    <s v="C0148"/>
    <s v="Malith"/>
    <s v="Negombo"/>
    <x v="4"/>
    <n v="576000"/>
    <n v="12.75"/>
    <s v="2024-07-18"/>
    <s v="Overdue"/>
    <x v="1"/>
    <s v="Dinesh"/>
    <n v="325400"/>
  </r>
  <r>
    <s v="C0149"/>
    <s v="Sewmi"/>
    <s v="Jaffna"/>
    <x v="0"/>
    <n v="1303000"/>
    <n v="10.5"/>
    <s v="2024-07-31"/>
    <s v="Active"/>
    <x v="2"/>
    <s v="Ravi"/>
    <n v="332700"/>
  </r>
  <r>
    <s v="C0150"/>
    <s v="Dilan"/>
    <s v="Galle"/>
    <x v="4"/>
    <n v="650000"/>
    <n v="12"/>
    <s v="2024-08-13"/>
    <s v="Active"/>
    <x v="0"/>
    <s v="Amal"/>
    <n v="340000"/>
  </r>
  <r>
    <s v="C0151"/>
    <s v="Nimal"/>
    <s v="Matara"/>
    <x v="0"/>
    <n v="1397000"/>
    <n v="9.75"/>
    <s v="2024-08-26"/>
    <s v="Active"/>
    <x v="1"/>
    <s v="Dinesh"/>
    <n v="347300"/>
  </r>
  <r>
    <s v="C0152"/>
    <s v="Kumari"/>
    <s v="Kandy"/>
    <x v="1"/>
    <n v="1488000"/>
    <n v="7.5"/>
    <s v="2024-09-08"/>
    <s v="Active"/>
    <x v="2"/>
    <s v="Tharushi"/>
    <n v="354600"/>
  </r>
  <r>
    <s v="C0153"/>
    <s v="Hasini"/>
    <s v="Kurunegala"/>
    <x v="2"/>
    <n v="4469000"/>
    <n v="8.25"/>
    <s v="2024-09-21"/>
    <s v="Paid"/>
    <x v="1"/>
    <s v="Nisha"/>
    <n v="361900"/>
  </r>
  <r>
    <s v="C0154"/>
    <s v="Ishara"/>
    <s v="Kandy"/>
    <x v="3"/>
    <n v="2514000"/>
    <n v="10"/>
    <s v="2024-10-04"/>
    <s v="Active"/>
    <x v="2"/>
    <s v="Ishara"/>
    <n v="369200"/>
  </r>
  <r>
    <s v="C0155"/>
    <s v="Ruwan"/>
    <s v="Kurunegala"/>
    <x v="2"/>
    <n v="4815000"/>
    <n v="7.5"/>
    <s v="2024-10-17"/>
    <s v="Active"/>
    <x v="0"/>
    <s v="Tharushi"/>
    <n v="376500"/>
  </r>
  <r>
    <s v="C0156"/>
    <s v="Saman"/>
    <s v="Colombo"/>
    <x v="3"/>
    <n v="2696000"/>
    <n v="9.25"/>
    <s v="2024-10-30"/>
    <s v="Overdue"/>
    <x v="1"/>
    <s v="Nisha"/>
    <n v="383800"/>
  </r>
  <r>
    <s v="C0157"/>
    <s v="Tharindu"/>
    <s v="Negombo"/>
    <x v="4"/>
    <n v="909000"/>
    <n v="12.5"/>
    <s v="2024-11-12"/>
    <s v="Active"/>
    <x v="2"/>
    <s v="Ishara"/>
    <n v="391100"/>
  </r>
  <r>
    <s v="C0158"/>
    <s v="Piumi"/>
    <s v="Jaffna"/>
    <x v="0"/>
    <n v="1726000"/>
    <n v="10.25"/>
    <s v="2024-11-25"/>
    <s v="Paid"/>
    <x v="0"/>
    <s v="Tharushi"/>
    <n v="398400"/>
  </r>
  <r>
    <s v="C0159"/>
    <s v="Chamath"/>
    <s v="Galle"/>
    <x v="1"/>
    <n v="121000"/>
    <n v="8"/>
    <s v="2024-12-08"/>
    <s v="Active"/>
    <x v="1"/>
    <s v="Nisha"/>
    <n v="405700"/>
  </r>
  <r>
    <s v="C0160"/>
    <s v="Shalini"/>
    <s v="Matara"/>
    <x v="0"/>
    <n v="1820000"/>
    <n v="9.5"/>
    <s v="2024-12-21"/>
    <s v="Paid"/>
    <x v="2"/>
    <s v="Amal"/>
    <n v="413000"/>
  </r>
  <r>
    <s v="C0161"/>
    <s v="Amara"/>
    <s v="Galle"/>
    <x v="1"/>
    <n v="159000"/>
    <n v="7.25"/>
    <s v="2025-01-03"/>
    <s v="Overdue"/>
    <x v="0"/>
    <s v="Dinesh"/>
    <n v="420300"/>
  </r>
  <r>
    <s v="C0162"/>
    <s v="Sachini"/>
    <s v="Matara"/>
    <x v="2"/>
    <n v="6026000"/>
    <n v="8"/>
    <s v="2025-01-16"/>
    <s v="Active"/>
    <x v="2"/>
    <s v="Ravi"/>
    <n v="427600"/>
  </r>
  <r>
    <s v="C0163"/>
    <s v="Ravindu"/>
    <s v="Kandy"/>
    <x v="3"/>
    <n v="3333000"/>
    <n v="9.75"/>
    <s v="2025-01-29"/>
    <s v="Paid"/>
    <x v="0"/>
    <s v="Amal"/>
    <n v="434900"/>
  </r>
  <r>
    <s v="C0164"/>
    <s v="Pavani"/>
    <s v="Kurunegala"/>
    <x v="4"/>
    <n v="1168000"/>
    <n v="13"/>
    <s v="2025-02-11"/>
    <s v="Overdue"/>
    <x v="1"/>
    <s v="Dinesh"/>
    <n v="442200"/>
  </r>
  <r>
    <s v="C0165"/>
    <s v="Nimal"/>
    <s v="Colombo"/>
    <x v="3"/>
    <n v="3515000"/>
    <n v="9"/>
    <s v="2025-02-24"/>
    <s v="Paid"/>
    <x v="2"/>
    <s v="Ravi"/>
    <n v="49500"/>
  </r>
  <r>
    <s v="C0166"/>
    <s v="Kumari"/>
    <s v="Negombo"/>
    <x v="4"/>
    <n v="1242000"/>
    <n v="12.25"/>
    <s v="2025-03-09"/>
    <s v="Overdue"/>
    <x v="0"/>
    <s v="Amal"/>
    <n v="56800"/>
  </r>
  <r>
    <s v="C0167"/>
    <s v="Hasini"/>
    <s v="Jaffna"/>
    <x v="0"/>
    <n v="2149000"/>
    <n v="10"/>
    <s v="2025-03-22"/>
    <s v="Active"/>
    <x v="1"/>
    <s v="Dinesh"/>
    <n v="64100"/>
  </r>
  <r>
    <s v="C0168"/>
    <s v="Kasun"/>
    <s v="Negombo"/>
    <x v="1"/>
    <n v="292000"/>
    <n v="7.75"/>
    <s v="2025-04-04"/>
    <s v="Overdue"/>
    <x v="2"/>
    <s v="Tharushi"/>
    <n v="71400"/>
  </r>
  <r>
    <s v="C0169"/>
    <s v="Madhavi"/>
    <s v="Jaffna"/>
    <x v="2"/>
    <n v="7237000"/>
    <n v="8.5"/>
    <s v="2025-04-17"/>
    <s v="Active"/>
    <x v="0"/>
    <s v="Nisha"/>
    <n v="78700"/>
  </r>
  <r>
    <s v="C0170"/>
    <s v="Kamal"/>
    <s v="Galle"/>
    <x v="1"/>
    <n v="330000"/>
    <n v="7"/>
    <s v="2025-04-30"/>
    <s v="Overdue"/>
    <x v="1"/>
    <s v="Ishara"/>
    <n v="86000"/>
  </r>
  <r>
    <s v="C0171"/>
    <s v="Nadeesha"/>
    <s v="Matara"/>
    <x v="2"/>
    <n v="7583000"/>
    <n v="7.75"/>
    <s v="2025-05-13"/>
    <s v="Overdue"/>
    <x v="0"/>
    <s v="Tharushi"/>
    <n v="93300"/>
  </r>
  <r>
    <s v="C0172"/>
    <s v="Dinuka"/>
    <s v="Kandy"/>
    <x v="3"/>
    <n v="4152000"/>
    <n v="9.5"/>
    <s v="2025-05-26"/>
    <s v="Overdue"/>
    <x v="1"/>
    <s v="Nisha"/>
    <n v="100600"/>
  </r>
  <r>
    <s v="C0173"/>
    <s v="Ishara"/>
    <s v="Kurunegala"/>
    <x v="4"/>
    <n v="1501000"/>
    <n v="12.75"/>
    <s v="2025-06-08"/>
    <s v="Overdue"/>
    <x v="2"/>
    <s v="Ishara"/>
    <n v="107900"/>
  </r>
  <r>
    <s v="C0174"/>
    <s v="Ruwan"/>
    <s v="Colombo"/>
    <x v="0"/>
    <n v="2478000"/>
    <n v="10.5"/>
    <s v="2025-06-21"/>
    <s v="Active"/>
    <x v="0"/>
    <s v="Tharushi"/>
    <n v="115200"/>
  </r>
  <r>
    <s v="C0175"/>
    <s v="Saman"/>
    <s v="Kurunegala"/>
    <x v="4"/>
    <n v="1575000"/>
    <n v="12"/>
    <s v="2025-07-04"/>
    <s v="Active"/>
    <x v="1"/>
    <s v="Nisha"/>
    <n v="122500"/>
  </r>
  <r>
    <s v="C0176"/>
    <s v="Sachini"/>
    <s v="Colombo"/>
    <x v="0"/>
    <n v="2572000"/>
    <n v="9.75"/>
    <s v="2025-07-17"/>
    <s v="Paid"/>
    <x v="2"/>
    <s v="Amal"/>
    <n v="129800"/>
  </r>
  <r>
    <s v="C0177"/>
    <s v="Ravindu"/>
    <s v="Negombo"/>
    <x v="1"/>
    <n v="463000"/>
    <n v="7.5"/>
    <s v="2025-07-30"/>
    <s v="Paid"/>
    <x v="0"/>
    <s v="Dinesh"/>
    <n v="137100"/>
  </r>
  <r>
    <s v="C0178"/>
    <s v="Pavani"/>
    <s v="Jaffna"/>
    <x v="2"/>
    <n v="8794000"/>
    <n v="8.25"/>
    <s v="2025-08-12"/>
    <s v="Overdue"/>
    <x v="1"/>
    <s v="Ravi"/>
    <n v="144400"/>
  </r>
  <r>
    <s v="C0179"/>
    <s v="Chathura"/>
    <s v="Galle"/>
    <x v="3"/>
    <n v="4789000"/>
    <n v="10"/>
    <s v="2025-08-25"/>
    <s v="Active"/>
    <x v="2"/>
    <s v="Amal"/>
    <n v="151700"/>
  </r>
  <r>
    <s v="C0180"/>
    <s v="Sunil"/>
    <s v="Matara"/>
    <x v="2"/>
    <n v="9140000"/>
    <n v="7.5"/>
    <s v="2025-09-07"/>
    <s v="Overdue"/>
    <x v="1"/>
    <s v="Dinesh"/>
    <n v="159000"/>
  </r>
  <r>
    <s v="C0181"/>
    <s v="Malith"/>
    <s v="Kandy"/>
    <x v="3"/>
    <n v="4971000"/>
    <n v="9.25"/>
    <s v="2025-09-20"/>
    <s v="Paid"/>
    <x v="2"/>
    <s v="Ravi"/>
    <n v="166300"/>
  </r>
  <r>
    <s v="C0182"/>
    <s v="Sewmi"/>
    <s v="Matara"/>
    <x v="4"/>
    <n v="1834000"/>
    <n v="12.5"/>
    <s v="2025-10-03"/>
    <s v="Paid"/>
    <x v="0"/>
    <s v="Amal"/>
    <n v="173600"/>
  </r>
  <r>
    <s v="C0183"/>
    <s v="Dilan"/>
    <s v="Kandy"/>
    <x v="0"/>
    <n v="2901000"/>
    <n v="10.25"/>
    <s v="2025-10-16"/>
    <s v="Active"/>
    <x v="1"/>
    <s v="Dinesh"/>
    <n v="180900"/>
  </r>
  <r>
    <s v="C0184"/>
    <s v="Nimal"/>
    <s v="Kurunegala"/>
    <x v="1"/>
    <n v="596000"/>
    <n v="8"/>
    <s v="2025-10-29"/>
    <s v="Active"/>
    <x v="2"/>
    <s v="Tharushi"/>
    <n v="188200"/>
  </r>
  <r>
    <s v="C0185"/>
    <s v="Kumari"/>
    <s v="Colombo"/>
    <x v="0"/>
    <n v="2995000"/>
    <n v="9.5"/>
    <s v="2025-11-11"/>
    <s v="Active"/>
    <x v="0"/>
    <s v="Nisha"/>
    <n v="195500"/>
  </r>
  <r>
    <s v="C0186"/>
    <s v="Hasini"/>
    <s v="Negombo"/>
    <x v="1"/>
    <n v="634000"/>
    <n v="7.25"/>
    <s v="2025-11-24"/>
    <s v="Overdue"/>
    <x v="1"/>
    <s v="Ishara"/>
    <n v="202800"/>
  </r>
  <r>
    <s v="C0187"/>
    <s v="Ishara"/>
    <s v="Jaffna"/>
    <x v="2"/>
    <n v="2351000"/>
    <n v="8"/>
    <s v="2025-12-07"/>
    <s v="Active"/>
    <x v="2"/>
    <s v="Tharushi"/>
    <n v="210100"/>
  </r>
  <r>
    <s v="C0188"/>
    <s v="Ruwan"/>
    <s v="Galle"/>
    <x v="3"/>
    <n v="5608000"/>
    <n v="9.75"/>
    <s v="2025-12-20"/>
    <s v="Paid"/>
    <x v="0"/>
    <s v="Nisha"/>
    <n v="217400"/>
  </r>
  <r>
    <s v="C0189"/>
    <s v="Saman"/>
    <s v="Jaffna"/>
    <x v="4"/>
    <n v="2093000"/>
    <n v="13"/>
    <s v="2026-01-02"/>
    <s v="Active"/>
    <x v="2"/>
    <s v="Ishara"/>
    <n v="224700"/>
  </r>
  <r>
    <s v="C0190"/>
    <s v="Tharindu"/>
    <s v="Galle"/>
    <x v="3"/>
    <n v="5790000"/>
    <n v="9"/>
    <s v="2026-01-15"/>
    <s v="Active"/>
    <x v="0"/>
    <s v="Tharushi"/>
    <n v="232000"/>
  </r>
  <r>
    <s v="C0191"/>
    <s v="Piumi"/>
    <s v="Matara"/>
    <x v="4"/>
    <n v="2167000"/>
    <n v="12.25"/>
    <s v="2026-01-28"/>
    <s v="Active"/>
    <x v="1"/>
    <s v="Nisha"/>
    <n v="239300"/>
  </r>
  <r>
    <s v="C0192"/>
    <s v="Chamath"/>
    <s v="Kandy"/>
    <x v="0"/>
    <n v="324000"/>
    <n v="10"/>
    <s v="2026-02-10"/>
    <s v="Active"/>
    <x v="2"/>
    <s v="Amal"/>
    <n v="246600"/>
  </r>
  <r>
    <s v="C0193"/>
    <s v="Shalini"/>
    <s v="Kurunegala"/>
    <x v="1"/>
    <n v="767000"/>
    <n v="7.75"/>
    <s v="2026-02-23"/>
    <s v="Paid"/>
    <x v="0"/>
    <s v="Dinesh"/>
    <n v="253900"/>
  </r>
  <r>
    <s v="C0194"/>
    <s v="Amara"/>
    <s v="Colombo"/>
    <x v="2"/>
    <n v="3562000"/>
    <n v="8.5"/>
    <s v="2026-03-08"/>
    <s v="Overdue"/>
    <x v="1"/>
    <s v="Ravi"/>
    <n v="261200"/>
  </r>
  <r>
    <s v="C0195"/>
    <s v="Sachini"/>
    <s v="Negombo"/>
    <x v="1"/>
    <n v="805000"/>
    <n v="7"/>
    <s v="2026-03-21"/>
    <s v="Paid"/>
    <x v="2"/>
    <s v="Amal"/>
    <n v="268500"/>
  </r>
  <r>
    <s v="C0196"/>
    <s v="Ravindu"/>
    <s v="Colombo"/>
    <x v="2"/>
    <n v="3908000"/>
    <n v="7.75"/>
    <s v="2026-04-03"/>
    <s v="Overdue"/>
    <x v="0"/>
    <s v="Dinesh"/>
    <n v="275800"/>
  </r>
  <r>
    <s v="C0197"/>
    <s v="Pavani"/>
    <s v="Negombo"/>
    <x v="3"/>
    <n v="6427000"/>
    <n v="9.5"/>
    <s v="2026-04-16"/>
    <s v="Paid"/>
    <x v="1"/>
    <s v="Ravi"/>
    <n v="283100"/>
  </r>
  <r>
    <s v="C0198"/>
    <s v="Nimal"/>
    <s v="Jaffna"/>
    <x v="4"/>
    <n v="2426000"/>
    <n v="12.75"/>
    <s v="2026-04-29"/>
    <s v="Paid"/>
    <x v="0"/>
    <s v="Amal"/>
    <n v="290400"/>
  </r>
  <r>
    <s v="C0199"/>
    <s v="Kumari"/>
    <s v="Galle"/>
    <x v="0"/>
    <n v="653000"/>
    <n v="10.5"/>
    <s v="2026-05-12"/>
    <s v="Active"/>
    <x v="1"/>
    <s v="Dinesh"/>
    <n v="297700"/>
  </r>
  <r>
    <s v="C0200"/>
    <s v="Hasini"/>
    <s v="Matara"/>
    <x v="4"/>
    <n v="2500000"/>
    <n v="12"/>
    <s v="2026-05-25"/>
    <s v="Paid"/>
    <x v="2"/>
    <s v="Tharushi"/>
    <n v="305000"/>
  </r>
  <r>
    <s v="C0201"/>
    <s v="Kasun"/>
    <s v="Kandy"/>
    <x v="0"/>
    <n v="747000"/>
    <n v="9.75"/>
    <s v="2026-06-07"/>
    <s v="Overdue"/>
    <x v="0"/>
    <s v="Nisha"/>
    <n v="312300"/>
  </r>
  <r>
    <s v="C0202"/>
    <s v="Madhavi"/>
    <s v="Kurunegala"/>
    <x v="1"/>
    <n v="938000"/>
    <n v="7.5"/>
    <s v="2026-06-20"/>
    <s v="Overdue"/>
    <x v="1"/>
    <s v="Ishara"/>
    <n v="319600"/>
  </r>
  <r>
    <s v="C0203"/>
    <s v="Kamal"/>
    <s v="Kandy"/>
    <x v="2"/>
    <n v="5119000"/>
    <n v="8.25"/>
    <s v="2026-07-03"/>
    <s v="Overdue"/>
    <x v="2"/>
    <s v="Tharushi"/>
    <n v="326900"/>
  </r>
  <r>
    <s v="C0204"/>
    <s v="Nadeesha"/>
    <s v="Kurunegala"/>
    <x v="3"/>
    <n v="1064000"/>
    <n v="10"/>
    <s v="2026-07-16"/>
    <s v="Active"/>
    <x v="0"/>
    <s v="Nisha"/>
    <n v="334200"/>
  </r>
  <r>
    <s v="C0205"/>
    <s v="Dinuka"/>
    <s v="Colombo"/>
    <x v="2"/>
    <n v="5465000"/>
    <n v="7.5"/>
    <s v="2026-07-29"/>
    <s v="Paid"/>
    <x v="1"/>
    <s v="Ishara"/>
    <n v="341500"/>
  </r>
  <r>
    <s v="C0206"/>
    <s v="Ishara"/>
    <s v="Negombo"/>
    <x v="3"/>
    <n v="1246000"/>
    <n v="9.25"/>
    <s v="2026-08-11"/>
    <s v="Paid"/>
    <x v="2"/>
    <s v="Tharushi"/>
    <n v="348800"/>
  </r>
  <r>
    <s v="C0207"/>
    <s v="Ruwan"/>
    <s v="Jaffna"/>
    <x v="4"/>
    <n v="259000"/>
    <n v="12.5"/>
    <s v="2026-08-24"/>
    <s v="Active"/>
    <x v="1"/>
    <s v="Nisha"/>
    <n v="356100"/>
  </r>
  <r>
    <s v="C0208"/>
    <s v="Saman"/>
    <s v="Galle"/>
    <x v="0"/>
    <n v="1076000"/>
    <n v="10.25"/>
    <s v="2026-09-06"/>
    <s v="Overdue"/>
    <x v="2"/>
    <s v="Amal"/>
    <n v="363400"/>
  </r>
  <r>
    <s v="C0209"/>
    <s v="Sachini"/>
    <s v="Matara"/>
    <x v="1"/>
    <n v="1071000"/>
    <n v="8"/>
    <s v="2026-09-19"/>
    <s v="Active"/>
    <x v="0"/>
    <s v="Dinesh"/>
    <n v="370700"/>
  </r>
  <r>
    <s v="C0210"/>
    <s v="Ravindu"/>
    <s v="Galle"/>
    <x v="0"/>
    <n v="1170000"/>
    <n v="9.5"/>
    <s v="2023-01-11"/>
    <s v="Overdue"/>
    <x v="1"/>
    <s v="Ravi"/>
    <n v="378000"/>
  </r>
  <r>
    <s v="C0211"/>
    <s v="Pavani"/>
    <s v="Matara"/>
    <x v="1"/>
    <n v="1109000"/>
    <n v="7.25"/>
    <s v="2023-01-24"/>
    <s v="Paid"/>
    <x v="2"/>
    <s v="Amal"/>
    <n v="385300"/>
  </r>
  <r>
    <s v="C0212"/>
    <s v="Chathura"/>
    <s v="Kandy"/>
    <x v="2"/>
    <n v="6676000"/>
    <n v="8"/>
    <s v="2023-02-06"/>
    <s v="Paid"/>
    <x v="0"/>
    <s v="Dinesh"/>
    <n v="392600"/>
  </r>
  <r>
    <s v="C0213"/>
    <s v="Sunil"/>
    <s v="Kurunegala"/>
    <x v="3"/>
    <n v="1883000"/>
    <n v="9.75"/>
    <s v="2023-02-19"/>
    <s v="Paid"/>
    <x v="1"/>
    <s v="Ravi"/>
    <n v="399900"/>
  </r>
  <r>
    <s v="C0214"/>
    <s v="Malith"/>
    <s v="Colombo"/>
    <x v="4"/>
    <n v="518000"/>
    <n v="13"/>
    <s v="2023-03-04"/>
    <s v="Active"/>
    <x v="2"/>
    <s v="Amal"/>
    <n v="407200"/>
  </r>
  <r>
    <s v="C0215"/>
    <s v="Sewmi"/>
    <s v="Negombo"/>
    <x v="3"/>
    <n v="2065000"/>
    <n v="9"/>
    <s v="2023-03-17"/>
    <s v="Active"/>
    <x v="0"/>
    <s v="Dinesh"/>
    <n v="414500"/>
  </r>
  <r>
    <s v="C0216"/>
    <s v="Dilan"/>
    <s v="Jaffna"/>
    <x v="4"/>
    <n v="592000"/>
    <n v="12.25"/>
    <s v="2023-03-30"/>
    <s v="Paid"/>
    <x v="2"/>
    <s v="Tharushi"/>
    <n v="421800"/>
  </r>
  <r>
    <s v="C0217"/>
    <s v="Nimal"/>
    <s v="Negombo"/>
    <x v="0"/>
    <n v="1499000"/>
    <n v="10"/>
    <s v="2023-04-12"/>
    <s v="Paid"/>
    <x v="0"/>
    <s v="Nisha"/>
    <n v="429100"/>
  </r>
  <r>
    <s v="C0218"/>
    <s v="Kumari"/>
    <s v="Jaffna"/>
    <x v="1"/>
    <n v="1242000"/>
    <n v="7.75"/>
    <s v="2023-04-25"/>
    <s v="Overdue"/>
    <x v="1"/>
    <s v="Ishara"/>
    <n v="436400"/>
  </r>
  <r>
    <s v="C0219"/>
    <s v="Hasini"/>
    <s v="Galle"/>
    <x v="2"/>
    <n v="7887000"/>
    <n v="8.5"/>
    <s v="2023-05-08"/>
    <s v="Active"/>
    <x v="2"/>
    <s v="Tharushi"/>
    <n v="443700"/>
  </r>
  <r>
    <s v="C0220"/>
    <s v="Ishara"/>
    <s v="Matara"/>
    <x v="1"/>
    <n v="1280000"/>
    <n v="7"/>
    <s v="2023-05-21"/>
    <s v="Active"/>
    <x v="0"/>
    <s v="Nisha"/>
    <n v="51000"/>
  </r>
  <r>
    <s v="C0221"/>
    <s v="Ruwan"/>
    <s v="Kandy"/>
    <x v="2"/>
    <n v="8233000"/>
    <n v="7.75"/>
    <s v="2023-06-03"/>
    <s v="Paid"/>
    <x v="1"/>
    <s v="Ishara"/>
    <n v="58300"/>
  </r>
  <r>
    <s v="C0222"/>
    <s v="Saman"/>
    <s v="Kurunegala"/>
    <x v="3"/>
    <n v="2702000"/>
    <n v="9.5"/>
    <s v="2023-06-16"/>
    <s v="Active"/>
    <x v="2"/>
    <s v="Tharushi"/>
    <n v="65600"/>
  </r>
  <r>
    <s v="C0223"/>
    <s v="Tharindu"/>
    <s v="Colombo"/>
    <x v="4"/>
    <n v="851000"/>
    <n v="12.75"/>
    <s v="2023-06-29"/>
    <s v="Paid"/>
    <x v="0"/>
    <s v="Nisha"/>
    <n v="72900"/>
  </r>
  <r>
    <s v="C0224"/>
    <s v="Piumi"/>
    <s v="Kurunegala"/>
    <x v="0"/>
    <n v="1828000"/>
    <n v="10.5"/>
    <s v="2023-07-12"/>
    <s v="Overdue"/>
    <x v="1"/>
    <s v="Amal"/>
    <n v="80200"/>
  </r>
  <r>
    <s v="C0225"/>
    <s v="Chamath"/>
    <s v="Colombo"/>
    <x v="4"/>
    <n v="925000"/>
    <n v="12"/>
    <s v="2023-07-25"/>
    <s v="Active"/>
    <x v="0"/>
    <s v="Dinesh"/>
    <n v="87500"/>
  </r>
  <r>
    <s v="C0226"/>
    <s v="Shalini"/>
    <s v="Negombo"/>
    <x v="0"/>
    <n v="1922000"/>
    <n v="9.75"/>
    <s v="2023-08-07"/>
    <s v="Overdue"/>
    <x v="1"/>
    <s v="Ravi"/>
    <n v="94800"/>
  </r>
  <r>
    <s v="C0227"/>
    <s v="Amara"/>
    <s v="Jaffna"/>
    <x v="1"/>
    <n v="1413000"/>
    <n v="7.5"/>
    <s v="2023-08-20"/>
    <s v="Active"/>
    <x v="2"/>
    <s v="Amal"/>
    <n v="102100"/>
  </r>
  <r>
    <s v="C0228"/>
    <s v="Sachini"/>
    <s v="Galle"/>
    <x v="2"/>
    <n v="9444000"/>
    <n v="8.25"/>
    <s v="2023-09-02"/>
    <s v="Paid"/>
    <x v="0"/>
    <s v="Dinesh"/>
    <n v="109400"/>
  </r>
  <r>
    <s v="C0229"/>
    <s v="Ravindu"/>
    <s v="Matara"/>
    <x v="3"/>
    <n v="3339000"/>
    <n v="10"/>
    <s v="2023-09-15"/>
    <s v="Paid"/>
    <x v="1"/>
    <s v="Ravi"/>
    <n v="116700"/>
  </r>
  <r>
    <s v="C0230"/>
    <s v="Pavani"/>
    <s v="Kandy"/>
    <x v="2"/>
    <n v="9790000"/>
    <n v="7.5"/>
    <s v="2023-09-28"/>
    <s v="Paid"/>
    <x v="2"/>
    <s v="Amal"/>
    <n v="124000"/>
  </r>
  <r>
    <s v="C0231"/>
    <s v="Nimal"/>
    <s v="Matara"/>
    <x v="3"/>
    <n v="3521000"/>
    <n v="9.25"/>
    <s v="2023-10-11"/>
    <s v="Overdue"/>
    <x v="0"/>
    <s v="Dinesh"/>
    <n v="131300"/>
  </r>
  <r>
    <s v="C0232"/>
    <s v="Kumari"/>
    <s v="Kandy"/>
    <x v="4"/>
    <n v="1184000"/>
    <n v="12.5"/>
    <s v="2023-10-24"/>
    <s v="Overdue"/>
    <x v="1"/>
    <s v="Tharushi"/>
    <n v="138600"/>
  </r>
  <r>
    <s v="C0233"/>
    <s v="Hasini"/>
    <s v="Kurunegala"/>
    <x v="0"/>
    <n v="2251000"/>
    <n v="10.25"/>
    <s v="2023-11-06"/>
    <s v="Overdue"/>
    <x v="2"/>
    <s v="Nisha"/>
    <n v="145900"/>
  </r>
  <r>
    <s v="C0234"/>
    <s v="Kasun"/>
    <s v="Colombo"/>
    <x v="1"/>
    <n v="1546000"/>
    <n v="8"/>
    <s v="2023-11-19"/>
    <s v="Overdue"/>
    <x v="1"/>
    <s v="Ishara"/>
    <n v="153200"/>
  </r>
  <r>
    <s v="C0235"/>
    <s v="Madhavi"/>
    <s v="Negombo"/>
    <x v="0"/>
    <n v="2345000"/>
    <n v="9.5"/>
    <s v="2023-12-02"/>
    <s v="Paid"/>
    <x v="2"/>
    <s v="Tharushi"/>
    <n v="160500"/>
  </r>
  <r>
    <s v="C0236"/>
    <s v="Kamal"/>
    <s v="Jaffna"/>
    <x v="1"/>
    <n v="1584000"/>
    <n v="7.25"/>
    <s v="2023-12-15"/>
    <s v="Overdue"/>
    <x v="0"/>
    <s v="Nisha"/>
    <n v="167800"/>
  </r>
  <r>
    <s v="C0237"/>
    <s v="Nadeesha"/>
    <s v="Galle"/>
    <x v="2"/>
    <n v="3001000"/>
    <n v="8"/>
    <s v="2023-12-28"/>
    <s v="Paid"/>
    <x v="1"/>
    <s v="Ishara"/>
    <n v="175100"/>
  </r>
  <r>
    <s v="C0238"/>
    <s v="Dinuka"/>
    <s v="Jaffna"/>
    <x v="3"/>
    <n v="4158000"/>
    <n v="9.75"/>
    <s v="2024-01-10"/>
    <s v="Overdue"/>
    <x v="2"/>
    <s v="Tharushi"/>
    <n v="182400"/>
  </r>
  <r>
    <s v="C0239"/>
    <s v="Ishara"/>
    <s v="Galle"/>
    <x v="4"/>
    <n v="1443000"/>
    <n v="13"/>
    <s v="2024-01-23"/>
    <s v="Active"/>
    <x v="0"/>
    <s v="Nisha"/>
    <n v="189700"/>
  </r>
  <r>
    <s v="C0240"/>
    <s v="Ruwan"/>
    <s v="Matara"/>
    <x v="3"/>
    <n v="4340000"/>
    <n v="9"/>
    <s v="2024-02-05"/>
    <s v="Overdue"/>
    <x v="1"/>
    <s v="Amal"/>
    <n v="197000"/>
  </r>
  <r>
    <s v="C0241"/>
    <s v="Saman"/>
    <s v="Kandy"/>
    <x v="4"/>
    <n v="1517000"/>
    <n v="12.25"/>
    <s v="2024-02-18"/>
    <s v="Paid"/>
    <x v="2"/>
    <s v="Dinesh"/>
    <n v="204300"/>
  </r>
  <r>
    <s v="C0242"/>
    <s v="Sachini"/>
    <s v="Kurunegala"/>
    <x v="0"/>
    <n v="2674000"/>
    <n v="10"/>
    <s v="2024-03-02"/>
    <s v="Paid"/>
    <x v="0"/>
    <s v="Ravi"/>
    <n v="211600"/>
  </r>
  <r>
    <s v="C0243"/>
    <s v="Ravindu"/>
    <s v="Colombo"/>
    <x v="1"/>
    <n v="217000"/>
    <n v="7.75"/>
    <s v="2024-03-15"/>
    <s v="Overdue"/>
    <x v="2"/>
    <s v="Amal"/>
    <n v="218900"/>
  </r>
  <r>
    <s v="C0244"/>
    <s v="Pavani"/>
    <s v="Negombo"/>
    <x v="2"/>
    <n v="4212000"/>
    <n v="8.5"/>
    <s v="2024-03-28"/>
    <s v="Active"/>
    <x v="0"/>
    <s v="Dinesh"/>
    <n v="226200"/>
  </r>
  <r>
    <s v="C0245"/>
    <s v="Chathura"/>
    <s v="Colombo"/>
    <x v="1"/>
    <n v="255000"/>
    <n v="7"/>
    <s v="2024-04-10"/>
    <s v="Paid"/>
    <x v="1"/>
    <s v="Ravi"/>
    <n v="233500"/>
  </r>
  <r>
    <s v="C0246"/>
    <s v="Sunil"/>
    <s v="Negombo"/>
    <x v="2"/>
    <n v="4558000"/>
    <n v="7.75"/>
    <s v="2024-04-23"/>
    <s v="Paid"/>
    <x v="2"/>
    <s v="Amal"/>
    <n v="240800"/>
  </r>
  <r>
    <s v="C0247"/>
    <s v="Malith"/>
    <s v="Jaffna"/>
    <x v="3"/>
    <n v="4977000"/>
    <n v="9.5"/>
    <s v="2024-05-06"/>
    <s v="Paid"/>
    <x v="0"/>
    <s v="Dinesh"/>
    <n v="248100"/>
  </r>
  <r>
    <s v="C0248"/>
    <s v="Sewmi"/>
    <s v="Galle"/>
    <x v="4"/>
    <n v="1776000"/>
    <n v="12.75"/>
    <s v="2024-05-19"/>
    <s v="Overdue"/>
    <x v="1"/>
    <s v="Tharushi"/>
    <n v="255400"/>
  </r>
  <r>
    <s v="C0249"/>
    <s v="Dilan"/>
    <s v="Matara"/>
    <x v="0"/>
    <n v="3003000"/>
    <n v="10.5"/>
    <s v="2024-06-01"/>
    <s v="Active"/>
    <x v="2"/>
    <s v="Nisha"/>
    <n v="262700"/>
  </r>
  <r>
    <s v="C0250"/>
    <s v="Nimal"/>
    <s v="Kandy"/>
    <x v="4"/>
    <n v="1850000"/>
    <n v="12"/>
    <s v="2024-06-14"/>
    <s v="Active"/>
    <x v="0"/>
    <s v="Ishara"/>
    <n v="270000"/>
  </r>
  <r>
    <s v="C0251"/>
    <s v="Kumari"/>
    <s v="Kurunegala"/>
    <x v="0"/>
    <n v="3097000"/>
    <n v="9.75"/>
    <s v="2024-06-27"/>
    <s v="Active"/>
    <x v="1"/>
    <s v="Tharushi"/>
    <n v="277300"/>
  </r>
  <r>
    <s v="C0252"/>
    <s v="Hasini"/>
    <s v="Kandy"/>
    <x v="1"/>
    <n v="388000"/>
    <n v="7.5"/>
    <s v="2024-07-10"/>
    <s v="Paid"/>
    <x v="0"/>
    <s v="Nisha"/>
    <n v="284600"/>
  </r>
  <r>
    <s v="C0253"/>
    <s v="Ishara"/>
    <s v="Kurunegala"/>
    <x v="2"/>
    <n v="5769000"/>
    <n v="8.25"/>
    <s v="2024-07-23"/>
    <s v="Paid"/>
    <x v="1"/>
    <s v="Ishara"/>
    <n v="291900"/>
  </r>
  <r>
    <s v="C0254"/>
    <s v="Ruwan"/>
    <s v="Colombo"/>
    <x v="3"/>
    <n v="5614000"/>
    <n v="10"/>
    <s v="2024-08-05"/>
    <s v="Active"/>
    <x v="2"/>
    <s v="Tharushi"/>
    <n v="299200"/>
  </r>
  <r>
    <s v="C0255"/>
    <s v="Saman"/>
    <s v="Negombo"/>
    <x v="2"/>
    <n v="6115000"/>
    <n v="7.5"/>
    <s v="2024-08-18"/>
    <s v="Active"/>
    <x v="0"/>
    <s v="Nisha"/>
    <n v="306500"/>
  </r>
  <r>
    <s v="C0256"/>
    <s v="Tharindu"/>
    <s v="Jaffna"/>
    <x v="3"/>
    <n v="5796000"/>
    <n v="9.25"/>
    <s v="2024-08-31"/>
    <s v="Overdue"/>
    <x v="1"/>
    <s v="Amal"/>
    <n v="313800"/>
  </r>
  <r>
    <s v="C0257"/>
    <s v="Piumi"/>
    <s v="Galle"/>
    <x v="4"/>
    <n v="2109000"/>
    <n v="12.5"/>
    <s v="2024-09-13"/>
    <s v="Active"/>
    <x v="2"/>
    <s v="Dinesh"/>
    <n v="321100"/>
  </r>
  <r>
    <s v="C0258"/>
    <s v="Chamath"/>
    <s v="Matara"/>
    <x v="0"/>
    <n v="426000"/>
    <n v="10.25"/>
    <s v="2024-09-26"/>
    <s v="Paid"/>
    <x v="0"/>
    <s v="Ravi"/>
    <n v="328400"/>
  </r>
  <r>
    <s v="C0259"/>
    <s v="Shalini"/>
    <s v="Galle"/>
    <x v="1"/>
    <n v="521000"/>
    <n v="8"/>
    <s v="2024-10-09"/>
    <s v="Active"/>
    <x v="1"/>
    <s v="Amal"/>
    <n v="335700"/>
  </r>
  <r>
    <s v="C0260"/>
    <s v="Amara"/>
    <s v="Matara"/>
    <x v="0"/>
    <n v="520000"/>
    <n v="9.5"/>
    <s v="2024-10-22"/>
    <s v="Paid"/>
    <x v="2"/>
    <s v="Dinesh"/>
    <n v="343000"/>
  </r>
  <r>
    <s v="C0261"/>
    <s v="Sachini"/>
    <s v="Kandy"/>
    <x v="1"/>
    <n v="559000"/>
    <n v="7.25"/>
    <s v="2024-11-04"/>
    <s v="Paid"/>
    <x v="1"/>
    <s v="Ravi"/>
    <n v="350300"/>
  </r>
  <r>
    <s v="C0262"/>
    <s v="Ravindu"/>
    <s v="Kurunegala"/>
    <x v="2"/>
    <n v="7326000"/>
    <n v="8"/>
    <s v="2024-11-17"/>
    <s v="Active"/>
    <x v="2"/>
    <s v="Amal"/>
    <n v="357600"/>
  </r>
  <r>
    <s v="C0263"/>
    <s v="Pavani"/>
    <s v="Colombo"/>
    <x v="3"/>
    <n v="6433000"/>
    <n v="9.75"/>
    <s v="2024-11-30"/>
    <s v="Paid"/>
    <x v="0"/>
    <s v="Dinesh"/>
    <n v="364900"/>
  </r>
  <r>
    <s v="C0264"/>
    <s v="Nimal"/>
    <s v="Negombo"/>
    <x v="4"/>
    <n v="2368000"/>
    <n v="13"/>
    <s v="2024-12-13"/>
    <s v="Overdue"/>
    <x v="1"/>
    <s v="Tharushi"/>
    <n v="372200"/>
  </r>
  <r>
    <s v="C0265"/>
    <s v="Kumari"/>
    <s v="Jaffna"/>
    <x v="3"/>
    <n v="615000"/>
    <n v="9"/>
    <s v="2024-12-26"/>
    <s v="Paid"/>
    <x v="2"/>
    <s v="Nisha"/>
    <n v="379500"/>
  </r>
  <r>
    <s v="C0266"/>
    <s v="Hasini"/>
    <s v="Negombo"/>
    <x v="4"/>
    <n v="2442000"/>
    <n v="12.25"/>
    <s v="2025-01-08"/>
    <s v="Overdue"/>
    <x v="0"/>
    <s v="Ishara"/>
    <n v="386800"/>
  </r>
  <r>
    <s v="C0267"/>
    <s v="Kasun"/>
    <s v="Jaffna"/>
    <x v="0"/>
    <n v="849000"/>
    <n v="10"/>
    <s v="2025-01-21"/>
    <s v="Active"/>
    <x v="1"/>
    <s v="Tharushi"/>
    <n v="394100"/>
  </r>
  <r>
    <s v="C0268"/>
    <s v="Madhavi"/>
    <s v="Galle"/>
    <x v="1"/>
    <n v="692000"/>
    <n v="7.75"/>
    <s v="2025-02-03"/>
    <s v="Overdue"/>
    <x v="2"/>
    <s v="Nisha"/>
    <n v="401400"/>
  </r>
  <r>
    <s v="C0269"/>
    <s v="Kamal"/>
    <s v="Matara"/>
    <x v="2"/>
    <n v="8537000"/>
    <n v="8.5"/>
    <s v="2025-02-16"/>
    <s v="Active"/>
    <x v="0"/>
    <s v="Ishara"/>
    <n v="408700"/>
  </r>
  <r>
    <s v="C0270"/>
    <s v="Nadeesha"/>
    <s v="Kandy"/>
    <x v="1"/>
    <n v="730000"/>
    <n v="7"/>
    <s v="2025-03-01"/>
    <s v="Paid"/>
    <x v="2"/>
    <s v="Tharushi"/>
    <n v="416000"/>
  </r>
  <r>
    <s v="C0271"/>
    <s v="Dinuka"/>
    <s v="Kurunegala"/>
    <x v="2"/>
    <n v="8883000"/>
    <n v="7.75"/>
    <s v="2025-03-14"/>
    <s v="Overdue"/>
    <x v="0"/>
    <s v="Nisha"/>
    <n v="423300"/>
  </r>
  <r>
    <s v="C0272"/>
    <s v="Ishara"/>
    <s v="Colombo"/>
    <x v="3"/>
    <n v="1252000"/>
    <n v="9.5"/>
    <s v="2025-03-27"/>
    <s v="Overdue"/>
    <x v="1"/>
    <s v="Amal"/>
    <n v="430600"/>
  </r>
  <r>
    <s v="C0273"/>
    <s v="Ruwan"/>
    <s v="Kurunegala"/>
    <x v="4"/>
    <n v="201000"/>
    <n v="12.75"/>
    <s v="2025-04-09"/>
    <s v="Overdue"/>
    <x v="2"/>
    <s v="Dinesh"/>
    <n v="437900"/>
  </r>
  <r>
    <s v="C0274"/>
    <s v="Saman"/>
    <s v="Colombo"/>
    <x v="0"/>
    <n v="1178000"/>
    <n v="10.5"/>
    <s v="2025-04-22"/>
    <s v="Active"/>
    <x v="0"/>
    <s v="Ravi"/>
    <n v="45200"/>
  </r>
  <r>
    <s v="C0275"/>
    <s v="Sachini"/>
    <s v="Negombo"/>
    <x v="4"/>
    <n v="275000"/>
    <n v="12"/>
    <s v="2025-05-05"/>
    <s v="Active"/>
    <x v="1"/>
    <s v="Amal"/>
    <n v="52500"/>
  </r>
  <r>
    <s v="C0276"/>
    <s v="Ravindu"/>
    <s v="Jaffna"/>
    <x v="0"/>
    <n v="1272000"/>
    <n v="9.75"/>
    <s v="2025-05-18"/>
    <s v="Paid"/>
    <x v="2"/>
    <s v="Dinesh"/>
    <n v="59800"/>
  </r>
  <r>
    <s v="C0277"/>
    <s v="Pavani"/>
    <s v="Galle"/>
    <x v="1"/>
    <n v="863000"/>
    <n v="7.5"/>
    <s v="2025-05-31"/>
    <s v="Paid"/>
    <x v="0"/>
    <s v="Ravi"/>
    <n v="67100"/>
  </r>
  <r>
    <s v="C0278"/>
    <s v="Chathura"/>
    <s v="Matara"/>
    <x v="2"/>
    <n v="2094000"/>
    <n v="8.25"/>
    <s v="2025-06-13"/>
    <s v="Overdue"/>
    <x v="1"/>
    <s v="Amal"/>
    <n v="74400"/>
  </r>
  <r>
    <s v="C0279"/>
    <s v="Sunil"/>
    <s v="Kandy"/>
    <x v="3"/>
    <n v="1889000"/>
    <n v="10"/>
    <s v="2025-06-26"/>
    <s v="Active"/>
    <x v="0"/>
    <s v="Dinesh"/>
    <n v="81700"/>
  </r>
  <r>
    <s v="C0280"/>
    <s v="Malith"/>
    <s v="Matara"/>
    <x v="2"/>
    <n v="2440000"/>
    <n v="7.5"/>
    <s v="2025-07-09"/>
    <s v="Overdue"/>
    <x v="1"/>
    <s v="Tharushi"/>
    <n v="89000"/>
  </r>
  <r>
    <s v="C0281"/>
    <s v="Sewmi"/>
    <s v="Kandy"/>
    <x v="3"/>
    <n v="2071000"/>
    <n v="9.25"/>
    <s v="2025-07-22"/>
    <s v="Paid"/>
    <x v="2"/>
    <s v="Nisha"/>
    <n v="96300"/>
  </r>
  <r>
    <s v="C0282"/>
    <s v="Dilan"/>
    <s v="Kurunegala"/>
    <x v="4"/>
    <n v="534000"/>
    <n v="12.5"/>
    <s v="2025-08-04"/>
    <s v="Paid"/>
    <x v="0"/>
    <s v="Ishara"/>
    <n v="103600"/>
  </r>
  <r>
    <s v="C0283"/>
    <s v="Nimal"/>
    <s v="Colombo"/>
    <x v="0"/>
    <n v="1601000"/>
    <n v="10.25"/>
    <s v="2025-08-17"/>
    <s v="Active"/>
    <x v="1"/>
    <s v="Tharushi"/>
    <n v="110900"/>
  </r>
  <r>
    <s v="C0284"/>
    <s v="Kumari"/>
    <s v="Negombo"/>
    <x v="1"/>
    <n v="996000"/>
    <n v="8"/>
    <s v="2025-08-30"/>
    <s v="Active"/>
    <x v="2"/>
    <s v="Nisha"/>
    <n v="118200"/>
  </r>
  <r>
    <s v="C0285"/>
    <s v="Hasini"/>
    <s v="Jaffna"/>
    <x v="0"/>
    <n v="1695000"/>
    <n v="9.5"/>
    <s v="2025-09-12"/>
    <s v="Active"/>
    <x v="0"/>
    <s v="Ishara"/>
    <n v="125500"/>
  </r>
  <r>
    <s v="C0286"/>
    <s v="Ishara"/>
    <s v="Galle"/>
    <x v="1"/>
    <n v="1034000"/>
    <n v="7.25"/>
    <s v="2025-09-25"/>
    <s v="Overdue"/>
    <x v="1"/>
    <s v="Tharushi"/>
    <n v="132800"/>
  </r>
  <r>
    <s v="C0287"/>
    <s v="Ruwan"/>
    <s v="Jaffna"/>
    <x v="2"/>
    <n v="3651000"/>
    <n v="8"/>
    <s v="2025-10-08"/>
    <s v="Active"/>
    <x v="2"/>
    <s v="Nisha"/>
    <n v="140100"/>
  </r>
  <r>
    <s v="C0288"/>
    <s v="Saman"/>
    <s v="Galle"/>
    <x v="3"/>
    <n v="2708000"/>
    <n v="9.75"/>
    <s v="2025-10-21"/>
    <s v="Overdue"/>
    <x v="1"/>
    <s v="Amal"/>
    <n v="147400"/>
  </r>
  <r>
    <s v="C0289"/>
    <s v="Tharindu"/>
    <s v="Matara"/>
    <x v="4"/>
    <n v="793000"/>
    <n v="13"/>
    <s v="2025-11-03"/>
    <s v="Active"/>
    <x v="2"/>
    <s v="Dinesh"/>
    <n v="154700"/>
  </r>
  <r>
    <s v="C0290"/>
    <s v="Piumi"/>
    <s v="Kandy"/>
    <x v="3"/>
    <n v="2890000"/>
    <n v="9"/>
    <s v="2025-11-16"/>
    <s v="Active"/>
    <x v="0"/>
    <s v="Ravi"/>
    <n v="162000"/>
  </r>
  <r>
    <s v="C0291"/>
    <s v="Chamath"/>
    <s v="Kurunegala"/>
    <x v="4"/>
    <n v="867000"/>
    <n v="12.25"/>
    <s v="2025-11-29"/>
    <s v="Active"/>
    <x v="1"/>
    <s v="Amal"/>
    <n v="169300"/>
  </r>
  <r>
    <s v="C0292"/>
    <s v="Shalini"/>
    <s v="Colombo"/>
    <x v="0"/>
    <n v="2024000"/>
    <n v="10"/>
    <s v="2025-12-12"/>
    <s v="Active"/>
    <x v="2"/>
    <s v="Dinesh"/>
    <n v="176600"/>
  </r>
  <r>
    <s v="C0293"/>
    <s v="Amara"/>
    <s v="Negombo"/>
    <x v="1"/>
    <n v="1167000"/>
    <n v="7.75"/>
    <s v="2025-12-25"/>
    <s v="Paid"/>
    <x v="0"/>
    <s v="Ravi"/>
    <n v="183900"/>
  </r>
  <r>
    <s v="C0294"/>
    <s v="Sachini"/>
    <s v="Colombo"/>
    <x v="2"/>
    <n v="4862000"/>
    <n v="8.5"/>
    <s v="2026-01-07"/>
    <s v="Overdue"/>
    <x v="1"/>
    <s v="Amal"/>
    <n v="191200"/>
  </r>
  <r>
    <s v="C0295"/>
    <s v="Ravindu"/>
    <s v="Negombo"/>
    <x v="1"/>
    <n v="1205000"/>
    <n v="7"/>
    <s v="2026-01-20"/>
    <s v="Paid"/>
    <x v="2"/>
    <s v="Dinesh"/>
    <n v="198500"/>
  </r>
  <r>
    <s v="C0296"/>
    <s v="Pavani"/>
    <s v="Jaffna"/>
    <x v="2"/>
    <n v="5208000"/>
    <n v="7.75"/>
    <s v="2026-02-02"/>
    <s v="Overdue"/>
    <x v="0"/>
    <s v="Tharushi"/>
    <n v="205800"/>
  </r>
  <r>
    <s v="C0297"/>
    <s v="Nimal"/>
    <s v="Galle"/>
    <x v="3"/>
    <n v="3527000"/>
    <n v="9.5"/>
    <s v="2026-02-15"/>
    <s v="Active"/>
    <x v="2"/>
    <s v="Nisha"/>
    <n v="213100"/>
  </r>
  <r>
    <s v="C0298"/>
    <s v="Kumari"/>
    <s v="Matara"/>
    <x v="4"/>
    <n v="1126000"/>
    <n v="12.75"/>
    <s v="2026-02-28"/>
    <s v="Paid"/>
    <x v="0"/>
    <s v="Ishara"/>
    <n v="220400"/>
  </r>
  <r>
    <s v="C0299"/>
    <s v="Hasini"/>
    <s v="Kandy"/>
    <x v="0"/>
    <n v="2353000"/>
    <n v="10.5"/>
    <s v="2026-03-13"/>
    <s v="Active"/>
    <x v="1"/>
    <s v="Tharushi"/>
    <n v="227700"/>
  </r>
  <r>
    <s v="C0300"/>
    <s v="Kasun"/>
    <s v="Kurunegala"/>
    <x v="4"/>
    <n v="1200000"/>
    <n v="12"/>
    <s v="2026-03-26"/>
    <s v="Paid"/>
    <x v="2"/>
    <s v="Nisha"/>
    <n v="235000"/>
  </r>
  <r>
    <s v="C0301"/>
    <s v="Madhavi"/>
    <s v="Kandy"/>
    <x v="0"/>
    <n v="2447000"/>
    <n v="9.75"/>
    <s v="2026-04-08"/>
    <s v="Overdue"/>
    <x v="0"/>
    <s v="Ishara"/>
    <n v="242300"/>
  </r>
  <r>
    <s v="C0302"/>
    <s v="Kamal"/>
    <s v="Kurunegala"/>
    <x v="1"/>
    <n v="1338000"/>
    <n v="7.5"/>
    <s v="2026-04-21"/>
    <s v="Overdue"/>
    <x v="1"/>
    <s v="Tharushi"/>
    <n v="249600"/>
  </r>
  <r>
    <s v="C0303"/>
    <s v="Nadeesha"/>
    <s v="Colombo"/>
    <x v="2"/>
    <n v="6419000"/>
    <n v="8.25"/>
    <s v="2026-05-04"/>
    <s v="Overdue"/>
    <x v="2"/>
    <s v="Nisha"/>
    <n v="256900"/>
  </r>
  <r>
    <s v="C0304"/>
    <s v="Dinuka"/>
    <s v="Negombo"/>
    <x v="3"/>
    <n v="4164000"/>
    <n v="10"/>
    <s v="2026-05-17"/>
    <s v="Active"/>
    <x v="0"/>
    <s v="Amal"/>
    <n v="264200"/>
  </r>
  <r>
    <s v="C0305"/>
    <s v="Ishara"/>
    <s v="Jaffna"/>
    <x v="2"/>
    <n v="6765000"/>
    <n v="7.5"/>
    <s v="2026-05-30"/>
    <s v="Paid"/>
    <x v="1"/>
    <s v="Dinesh"/>
    <n v="271500"/>
  </r>
  <r>
    <s v="C0306"/>
    <s v="Ruwan"/>
    <s v="Galle"/>
    <x v="3"/>
    <n v="4346000"/>
    <n v="9.25"/>
    <s v="2026-06-12"/>
    <s v="Overdue"/>
    <x v="0"/>
    <s v="Ravi"/>
    <n v="278800"/>
  </r>
  <r>
    <s v="C0307"/>
    <s v="Saman"/>
    <s v="Matara"/>
    <x v="4"/>
    <n v="1459000"/>
    <n v="12.5"/>
    <s v="2026-06-25"/>
    <s v="Active"/>
    <x v="1"/>
    <s v="Amal"/>
    <n v="286100"/>
  </r>
  <r>
    <s v="C0308"/>
    <s v="Sachini"/>
    <s v="Galle"/>
    <x v="0"/>
    <n v="2776000"/>
    <n v="10.25"/>
    <s v="2026-07-08"/>
    <s v="Overdue"/>
    <x v="2"/>
    <s v="Dinesh"/>
    <n v="293400"/>
  </r>
  <r>
    <s v="C0309"/>
    <s v="Ravindu"/>
    <s v="Matara"/>
    <x v="1"/>
    <n v="1471000"/>
    <n v="8"/>
    <s v="2026-07-21"/>
    <s v="Active"/>
    <x v="0"/>
    <s v="Ravi"/>
    <n v="300700"/>
  </r>
  <r>
    <s v="C0310"/>
    <s v="Pavani"/>
    <s v="Kandy"/>
    <x v="0"/>
    <n v="2870000"/>
    <n v="9.5"/>
    <s v="2026-08-03"/>
    <s v="Overdue"/>
    <x v="1"/>
    <s v="Amal"/>
    <n v="308000"/>
  </r>
  <r>
    <s v="C0311"/>
    <s v="Chathura"/>
    <s v="Kurunegala"/>
    <x v="1"/>
    <n v="1509000"/>
    <n v="7.25"/>
    <s v="2026-08-16"/>
    <s v="Paid"/>
    <x v="2"/>
    <s v="Dinesh"/>
    <n v="315300"/>
  </r>
  <r>
    <s v="C0312"/>
    <s v="Sunil"/>
    <s v="Colombo"/>
    <x v="2"/>
    <n v="7976000"/>
    <n v="8"/>
    <s v="2026-08-29"/>
    <s v="Paid"/>
    <x v="0"/>
    <s v="Tharushi"/>
    <n v="322600"/>
  </r>
  <r>
    <s v="C0313"/>
    <s v="Malith"/>
    <s v="Negombo"/>
    <x v="3"/>
    <n v="4983000"/>
    <n v="9.75"/>
    <s v="2026-09-11"/>
    <s v="Paid"/>
    <x v="1"/>
    <s v="Nisha"/>
    <n v="329900"/>
  </r>
  <r>
    <s v="C0314"/>
    <s v="Sewmi"/>
    <s v="Jaffna"/>
    <x v="4"/>
    <n v="1718000"/>
    <n v="13"/>
    <s v="2023-01-03"/>
    <s v="Active"/>
    <x v="2"/>
    <s v="Ishara"/>
    <n v="337200"/>
  </r>
  <r>
    <s v="C0315"/>
    <s v="Dilan"/>
    <s v="Negombo"/>
    <x v="3"/>
    <n v="5165000"/>
    <n v="9"/>
    <s v="2023-01-16"/>
    <s v="Active"/>
    <x v="1"/>
    <s v="Tharushi"/>
    <n v="344500"/>
  </r>
  <r>
    <s v="C0316"/>
    <s v="Nimal"/>
    <s v="Jaffna"/>
    <x v="4"/>
    <n v="1792000"/>
    <n v="12.25"/>
    <s v="2023-01-29"/>
    <s v="Paid"/>
    <x v="2"/>
    <s v="Nisha"/>
    <n v="351800"/>
  </r>
  <r>
    <s v="C0317"/>
    <s v="Kumari"/>
    <s v="Galle"/>
    <x v="0"/>
    <n v="3199000"/>
    <n v="10"/>
    <s v="2023-02-11"/>
    <s v="Paid"/>
    <x v="0"/>
    <s v="Ishara"/>
    <n v="359100"/>
  </r>
  <r>
    <s v="C0318"/>
    <s v="Hasini"/>
    <s v="Matara"/>
    <x v="1"/>
    <n v="142000"/>
    <n v="7.75"/>
    <s v="2023-02-24"/>
    <s v="Overdue"/>
    <x v="1"/>
    <s v="Tharushi"/>
    <n v="366400"/>
  </r>
  <r>
    <s v="C0319"/>
    <s v="Ishara"/>
    <s v="Kandy"/>
    <x v="2"/>
    <n v="9187000"/>
    <n v="8.5"/>
    <s v="2023-03-09"/>
    <s v="Active"/>
    <x v="2"/>
    <s v="Nisha"/>
    <n v="373700"/>
  </r>
  <r>
    <s v="C0320"/>
    <s v="Ruwan"/>
    <s v="Kurunegala"/>
    <x v="1"/>
    <n v="180000"/>
    <n v="7"/>
    <s v="2023-03-22"/>
    <s v="Active"/>
    <x v="0"/>
    <s v="Amal"/>
    <n v="381000"/>
  </r>
  <r>
    <s v="C0321"/>
    <s v="Saman"/>
    <s v="Colombo"/>
    <x v="2"/>
    <n v="9533000"/>
    <n v="7.75"/>
    <s v="2023-04-04"/>
    <s v="Paid"/>
    <x v="1"/>
    <s v="Dinesh"/>
    <n v="388300"/>
  </r>
  <r>
    <s v="C0322"/>
    <s v="Tharindu"/>
    <s v="Kurunegala"/>
    <x v="3"/>
    <n v="5802000"/>
    <n v="9.5"/>
    <s v="2023-04-17"/>
    <s v="Active"/>
    <x v="2"/>
    <s v="Ravi"/>
    <n v="395600"/>
  </r>
  <r>
    <s v="C0323"/>
    <s v="Piumi"/>
    <s v="Colombo"/>
    <x v="4"/>
    <n v="2051000"/>
    <n v="12.75"/>
    <s v="2023-04-30"/>
    <s v="Paid"/>
    <x v="0"/>
    <s v="Amal"/>
    <n v="402900"/>
  </r>
  <r>
    <s v="C0324"/>
    <s v="Chamath"/>
    <s v="Negombo"/>
    <x v="0"/>
    <n v="528000"/>
    <n v="10.5"/>
    <s v="2023-05-13"/>
    <s v="Active"/>
    <x v="2"/>
    <s v="Dinesh"/>
    <n v="410200"/>
  </r>
  <r>
    <s v="C0325"/>
    <s v="Shalini"/>
    <s v="Jaffna"/>
    <x v="4"/>
    <n v="2125000"/>
    <n v="12"/>
    <s v="2023-05-26"/>
    <s v="Active"/>
    <x v="0"/>
    <s v="Ravi"/>
    <n v="417500"/>
  </r>
  <r>
    <s v="C0326"/>
    <s v="Amara"/>
    <s v="Galle"/>
    <x v="0"/>
    <n v="622000"/>
    <n v="9.75"/>
    <s v="2023-06-08"/>
    <s v="Overdue"/>
    <x v="1"/>
    <s v="Amal"/>
    <n v="424800"/>
  </r>
  <r>
    <s v="C0327"/>
    <s v="Sachini"/>
    <s v="Matara"/>
    <x v="1"/>
    <n v="313000"/>
    <n v="7.5"/>
    <s v="2023-06-21"/>
    <s v="Active"/>
    <x v="2"/>
    <s v="Dinesh"/>
    <n v="432100"/>
  </r>
  <r>
    <s v="C0328"/>
    <s v="Ravindu"/>
    <s v="Kandy"/>
    <x v="2"/>
    <n v="2744000"/>
    <n v="8.25"/>
    <s v="2023-07-04"/>
    <s v="Paid"/>
    <x v="0"/>
    <s v="Tharushi"/>
    <n v="439400"/>
  </r>
  <r>
    <s v="C0329"/>
    <s v="Pavani"/>
    <s v="Matara"/>
    <x v="3"/>
    <n v="6439000"/>
    <n v="10"/>
    <s v="2023-07-17"/>
    <s v="Paid"/>
    <x v="1"/>
    <s v="Nisha"/>
    <n v="46700"/>
  </r>
  <r>
    <s v="C0330"/>
    <s v="Nimal"/>
    <s v="Kandy"/>
    <x v="2"/>
    <n v="3090000"/>
    <n v="7.5"/>
    <s v="2023-07-30"/>
    <s v="Paid"/>
    <x v="2"/>
    <s v="Ishara"/>
    <n v="54000"/>
  </r>
  <r>
    <s v="C0331"/>
    <s v="Kumari"/>
    <s v="Kurunegala"/>
    <x v="3"/>
    <n v="621000"/>
    <n v="9.25"/>
    <s v="2023-08-12"/>
    <s v="Overdue"/>
    <x v="0"/>
    <s v="Tharushi"/>
    <n v="61300"/>
  </r>
  <r>
    <s v="C0332"/>
    <s v="Hasini"/>
    <s v="Colombo"/>
    <x v="4"/>
    <n v="2384000"/>
    <n v="12.5"/>
    <s v="2023-08-25"/>
    <s v="Overdue"/>
    <x v="1"/>
    <s v="Nisha"/>
    <n v="68600"/>
  </r>
  <r>
    <s v="C0333"/>
    <s v="Kasun"/>
    <s v="Negombo"/>
    <x v="0"/>
    <n v="951000"/>
    <n v="10.25"/>
    <s v="2023-09-07"/>
    <s v="Paid"/>
    <x v="0"/>
    <s v="Ishara"/>
    <n v="75900"/>
  </r>
  <r>
    <s v="C0334"/>
    <s v="Madhavi"/>
    <s v="Jaffna"/>
    <x v="1"/>
    <n v="446000"/>
    <n v="8"/>
    <s v="2023-09-20"/>
    <s v="Overdue"/>
    <x v="1"/>
    <s v="Tharushi"/>
    <n v="83200"/>
  </r>
  <r>
    <s v="C0335"/>
    <s v="Kamal"/>
    <s v="Galle"/>
    <x v="0"/>
    <n v="1045000"/>
    <n v="9.5"/>
    <s v="2023-10-03"/>
    <s v="Paid"/>
    <x v="2"/>
    <s v="Nisha"/>
    <n v="90500"/>
  </r>
  <r>
    <s v="C0336"/>
    <s v="Nadeesha"/>
    <s v="Jaffna"/>
    <x v="1"/>
    <n v="484000"/>
    <n v="7.25"/>
    <s v="2023-10-16"/>
    <s v="Overdue"/>
    <x v="0"/>
    <s v="Amal"/>
    <n v="97800"/>
  </r>
  <r>
    <s v="C0337"/>
    <s v="Dinuka"/>
    <s v="Galle"/>
    <x v="2"/>
    <n v="4301000"/>
    <n v="8"/>
    <s v="2023-10-29"/>
    <s v="Paid"/>
    <x v="1"/>
    <s v="Dinesh"/>
    <n v="105100"/>
  </r>
  <r>
    <s v="C0338"/>
    <s v="Ishara"/>
    <s v="Matara"/>
    <x v="3"/>
    <n v="1258000"/>
    <n v="9.75"/>
    <s v="2023-11-11"/>
    <s v="Overdue"/>
    <x v="2"/>
    <s v="Ravi"/>
    <n v="112400"/>
  </r>
  <r>
    <s v="C0339"/>
    <s v="Ruwan"/>
    <s v="Kandy"/>
    <x v="4"/>
    <n v="143000"/>
    <n v="13"/>
    <s v="2023-11-24"/>
    <s v="Active"/>
    <x v="0"/>
    <s v="Amal"/>
    <n v="119700"/>
  </r>
  <r>
    <s v="C0340"/>
    <s v="Saman"/>
    <s v="Kurunegala"/>
    <x v="3"/>
    <n v="1440000"/>
    <n v="9"/>
    <s v="2023-12-07"/>
    <s v="Overdue"/>
    <x v="1"/>
    <s v="Dinesh"/>
    <n v="127000"/>
  </r>
  <r>
    <s v="C0341"/>
    <s v="Sachini"/>
    <s v="Colombo"/>
    <x v="4"/>
    <n v="217000"/>
    <n v="12.25"/>
    <s v="2023-12-20"/>
    <s v="Paid"/>
    <x v="2"/>
    <s v="Ravi"/>
    <n v="134300"/>
  </r>
  <r>
    <s v="C0342"/>
    <s v="Ravindu"/>
    <s v="Negombo"/>
    <x v="0"/>
    <n v="1374000"/>
    <n v="10"/>
    <s v="2024-01-02"/>
    <s v="Overdue"/>
    <x v="1"/>
    <s v="Amal"/>
    <n v="141600"/>
  </r>
  <r>
    <s v="C0343"/>
    <s v="Pavani"/>
    <s v="Colombo"/>
    <x v="1"/>
    <n v="617000"/>
    <n v="7.75"/>
    <s v="2024-01-15"/>
    <s v="Overdue"/>
    <x v="2"/>
    <s v="Dinesh"/>
    <n v="148900"/>
  </r>
  <r>
    <s v="C0344"/>
    <s v="Chathura"/>
    <s v="Negombo"/>
    <x v="2"/>
    <n v="5512000"/>
    <n v="8.5"/>
    <s v="2024-01-28"/>
    <s v="Active"/>
    <x v="0"/>
    <s v="Tharushi"/>
    <n v="156200"/>
  </r>
  <r>
    <s v="C0345"/>
    <s v="Sunil"/>
    <s v="Jaffna"/>
    <x v="1"/>
    <n v="655000"/>
    <n v="7"/>
    <s v="2024-02-10"/>
    <s v="Paid"/>
    <x v="1"/>
    <s v="Nisha"/>
    <n v="163500"/>
  </r>
  <r>
    <s v="C0346"/>
    <s v="Malith"/>
    <s v="Galle"/>
    <x v="2"/>
    <n v="5858000"/>
    <n v="7.75"/>
    <s v="2024-02-23"/>
    <s v="Paid"/>
    <x v="2"/>
    <s v="Ishara"/>
    <n v="170800"/>
  </r>
  <r>
    <s v="C0347"/>
    <s v="Sewmi"/>
    <s v="Matara"/>
    <x v="3"/>
    <n v="2077000"/>
    <n v="9.5"/>
    <s v="2024-03-07"/>
    <s v="Paid"/>
    <x v="0"/>
    <s v="Tharushi"/>
    <n v="178100"/>
  </r>
  <r>
    <s v="C0348"/>
    <s v="Dilan"/>
    <s v="Kandy"/>
    <x v="4"/>
    <n v="476000"/>
    <n v="12.75"/>
    <s v="2024-03-20"/>
    <s v="Overdue"/>
    <x v="1"/>
    <s v="Nisha"/>
    <n v="185400"/>
  </r>
  <r>
    <s v="C0349"/>
    <s v="Nimal"/>
    <s v="Kurunegala"/>
    <x v="0"/>
    <n v="1703000"/>
    <n v="10.5"/>
    <s v="2024-04-02"/>
    <s v="Active"/>
    <x v="2"/>
    <s v="Ishara"/>
    <n v="192700"/>
  </r>
  <r>
    <s v="C0350"/>
    <s v="Kumari"/>
    <s v="Kandy"/>
    <x v="4"/>
    <n v="550000"/>
    <n v="12"/>
    <s v="2024-04-15"/>
    <s v="Active"/>
    <x v="0"/>
    <s v="Tharushi"/>
    <n v="2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LN0001"/>
    <s v="C0001"/>
    <s v="Kumari"/>
    <x v="0"/>
    <s v="Vehicle"/>
    <n v="347000"/>
    <n v="9.75"/>
    <x v="0"/>
    <x v="0"/>
    <x v="0"/>
    <x v="0"/>
    <n v="52300"/>
  </r>
  <r>
    <s v="LN0002"/>
    <s v="C0002"/>
    <s v="Hasini"/>
    <x v="1"/>
    <s v="Education"/>
    <n v="138000"/>
    <n v="7.5"/>
    <x v="1"/>
    <x v="0"/>
    <x v="1"/>
    <x v="1"/>
    <n v="59600"/>
  </r>
  <r>
    <s v="LN0003"/>
    <s v="C0003"/>
    <s v="Kasun"/>
    <x v="2"/>
    <s v="Home"/>
    <n v="2519000"/>
    <n v="8.25"/>
    <x v="2"/>
    <x v="0"/>
    <x v="2"/>
    <x v="2"/>
    <n v="66900"/>
  </r>
  <r>
    <s v="LN0004"/>
    <s v="C0004"/>
    <s v="Madhavi"/>
    <x v="3"/>
    <s v="Business"/>
    <n v="864000"/>
    <n v="10"/>
    <x v="3"/>
    <x v="1"/>
    <x v="0"/>
    <x v="0"/>
    <n v="74200"/>
  </r>
  <r>
    <s v="LN0005"/>
    <s v="C0005"/>
    <s v="Kamal"/>
    <x v="4"/>
    <s v="Home"/>
    <n v="2865000"/>
    <n v="7.5"/>
    <x v="4"/>
    <x v="2"/>
    <x v="1"/>
    <x v="1"/>
    <n v="81500"/>
  </r>
  <r>
    <s v="LN0006"/>
    <s v="C0006"/>
    <s v="Nadeesha"/>
    <x v="5"/>
    <s v="Business"/>
    <n v="1046000"/>
    <n v="9.25"/>
    <x v="5"/>
    <x v="2"/>
    <x v="2"/>
    <x v="2"/>
    <n v="88800"/>
  </r>
  <r>
    <s v="LN0007"/>
    <s v="C0007"/>
    <s v="Dinuka"/>
    <x v="4"/>
    <s v="Personal"/>
    <n v="359000"/>
    <n v="12.5"/>
    <x v="6"/>
    <x v="2"/>
    <x v="0"/>
    <x v="0"/>
    <n v="96100"/>
  </r>
  <r>
    <s v="LN0008"/>
    <s v="C0008"/>
    <s v="Ishara"/>
    <x v="5"/>
    <s v="Vehicle"/>
    <n v="676000"/>
    <n v="10.25"/>
    <x v="7"/>
    <x v="0"/>
    <x v="1"/>
    <x v="3"/>
    <n v="103400"/>
  </r>
  <r>
    <s v="LN0009"/>
    <s v="C0009"/>
    <s v="Ruwan"/>
    <x v="6"/>
    <s v="Education"/>
    <n v="271000"/>
    <n v="8"/>
    <x v="8"/>
    <x v="1"/>
    <x v="0"/>
    <x v="4"/>
    <n v="110700"/>
  </r>
  <r>
    <s v="LN0010"/>
    <s v="C0010"/>
    <s v="Saman"/>
    <x v="0"/>
    <s v="Vehicle"/>
    <n v="770000"/>
    <n v="9.5"/>
    <x v="9"/>
    <x v="0"/>
    <x v="1"/>
    <x v="5"/>
    <n v="118000"/>
  </r>
  <r>
    <s v="LN0011"/>
    <s v="C0011"/>
    <s v="Sachini"/>
    <x v="1"/>
    <s v="Education"/>
    <n v="309000"/>
    <n v="7.25"/>
    <x v="10"/>
    <x v="2"/>
    <x v="2"/>
    <x v="3"/>
    <n v="125300"/>
  </r>
  <r>
    <s v="LN0012"/>
    <s v="C0012"/>
    <s v="Ravindu"/>
    <x v="2"/>
    <s v="Home"/>
    <n v="4076000"/>
    <n v="8"/>
    <x v="11"/>
    <x v="2"/>
    <x v="0"/>
    <x v="4"/>
    <n v="132600"/>
  </r>
  <r>
    <s v="LN0013"/>
    <s v="C0013"/>
    <s v="Pavani"/>
    <x v="3"/>
    <s v="Business"/>
    <n v="1683000"/>
    <n v="9.75"/>
    <x v="12"/>
    <x v="2"/>
    <x v="1"/>
    <x v="5"/>
    <n v="139900"/>
  </r>
  <r>
    <s v="LN0014"/>
    <s v="C0014"/>
    <s v="Chathura"/>
    <x v="2"/>
    <s v="Personal"/>
    <n v="618000"/>
    <n v="13"/>
    <x v="13"/>
    <x v="1"/>
    <x v="2"/>
    <x v="3"/>
    <n v="147200"/>
  </r>
  <r>
    <s v="LN0015"/>
    <s v="C0015"/>
    <s v="Sunil"/>
    <x v="3"/>
    <s v="Business"/>
    <n v="1865000"/>
    <n v="9"/>
    <x v="14"/>
    <x v="1"/>
    <x v="0"/>
    <x v="4"/>
    <n v="154500"/>
  </r>
  <r>
    <s v="LN0016"/>
    <s v="C0016"/>
    <s v="Malith"/>
    <x v="4"/>
    <s v="Personal"/>
    <n v="692000"/>
    <n v="12.25"/>
    <x v="15"/>
    <x v="0"/>
    <x v="1"/>
    <x v="2"/>
    <n v="161800"/>
  </r>
  <r>
    <s v="LN0017"/>
    <s v="C0017"/>
    <s v="Sewmi"/>
    <x v="5"/>
    <s v="Vehicle"/>
    <n v="1099000"/>
    <n v="10"/>
    <x v="16"/>
    <x v="1"/>
    <x v="2"/>
    <x v="0"/>
    <n v="169100"/>
  </r>
  <r>
    <s v="LN0018"/>
    <s v="C0018"/>
    <s v="Dilan"/>
    <x v="6"/>
    <s v="Education"/>
    <n v="442000"/>
    <n v="7.75"/>
    <x v="17"/>
    <x v="0"/>
    <x v="1"/>
    <x v="1"/>
    <n v="176400"/>
  </r>
  <r>
    <s v="LN0019"/>
    <s v="C0019"/>
    <s v="Nimal"/>
    <x v="0"/>
    <s v="Home"/>
    <n v="5287000"/>
    <n v="8.5"/>
    <x v="18"/>
    <x v="1"/>
    <x v="2"/>
    <x v="2"/>
    <n v="183700"/>
  </r>
  <r>
    <s v="LN0020"/>
    <s v="C0020"/>
    <s v="Kumari"/>
    <x v="1"/>
    <s v="Education"/>
    <n v="480000"/>
    <n v="7"/>
    <x v="19"/>
    <x v="1"/>
    <x v="0"/>
    <x v="0"/>
    <n v="191000"/>
  </r>
  <r>
    <s v="LN0021"/>
    <s v="C0021"/>
    <s v="Hasini"/>
    <x v="0"/>
    <s v="Home"/>
    <n v="5633000"/>
    <n v="7.75"/>
    <x v="20"/>
    <x v="2"/>
    <x v="1"/>
    <x v="1"/>
    <n v="198300"/>
  </r>
  <r>
    <s v="LN0022"/>
    <s v="C0022"/>
    <s v="Ishara"/>
    <x v="1"/>
    <s v="Business"/>
    <n v="2502000"/>
    <n v="9.5"/>
    <x v="21"/>
    <x v="1"/>
    <x v="2"/>
    <x v="2"/>
    <n v="205600"/>
  </r>
  <r>
    <s v="LN0023"/>
    <s v="C0023"/>
    <s v="Ruwan"/>
    <x v="2"/>
    <s v="Personal"/>
    <n v="951000"/>
    <n v="12.75"/>
    <x v="22"/>
    <x v="2"/>
    <x v="0"/>
    <x v="0"/>
    <n v="212900"/>
  </r>
  <r>
    <s v="LN0024"/>
    <s v="C0024"/>
    <s v="Saman"/>
    <x v="3"/>
    <s v="Vehicle"/>
    <n v="1428000"/>
    <n v="10.5"/>
    <x v="23"/>
    <x v="0"/>
    <x v="1"/>
    <x v="3"/>
    <n v="220200"/>
  </r>
  <r>
    <s v="LN0025"/>
    <s v="C0025"/>
    <s v="Tharindu"/>
    <x v="4"/>
    <s v="Personal"/>
    <n v="1025000"/>
    <n v="12"/>
    <x v="24"/>
    <x v="2"/>
    <x v="2"/>
    <x v="4"/>
    <n v="227500"/>
  </r>
  <r>
    <s v="LN0026"/>
    <s v="C0026"/>
    <s v="Piumi"/>
    <x v="5"/>
    <s v="Vehicle"/>
    <n v="1522000"/>
    <n v="9.75"/>
    <x v="25"/>
    <x v="0"/>
    <x v="0"/>
    <x v="5"/>
    <n v="234800"/>
  </r>
  <r>
    <s v="LN0027"/>
    <s v="C0027"/>
    <s v="Chamath"/>
    <x v="6"/>
    <s v="Education"/>
    <n v="613000"/>
    <n v="7.5"/>
    <x v="26"/>
    <x v="1"/>
    <x v="2"/>
    <x v="3"/>
    <n v="242100"/>
  </r>
  <r>
    <s v="LN0028"/>
    <s v="C0028"/>
    <s v="Shalini"/>
    <x v="5"/>
    <s v="Home"/>
    <n v="6844000"/>
    <n v="8.25"/>
    <x v="27"/>
    <x v="2"/>
    <x v="0"/>
    <x v="4"/>
    <n v="249400"/>
  </r>
  <r>
    <s v="LN0029"/>
    <s v="C0029"/>
    <s v="Amara"/>
    <x v="6"/>
    <s v="Business"/>
    <n v="3139000"/>
    <n v="10"/>
    <x v="28"/>
    <x v="2"/>
    <x v="1"/>
    <x v="5"/>
    <n v="256700"/>
  </r>
  <r>
    <s v="LN0030"/>
    <s v="C0030"/>
    <s v="Sachini"/>
    <x v="0"/>
    <s v="Home"/>
    <n v="7190000"/>
    <n v="7.5"/>
    <x v="29"/>
    <x v="2"/>
    <x v="2"/>
    <x v="3"/>
    <n v="264000"/>
  </r>
  <r>
    <s v="LN0031"/>
    <s v="C0031"/>
    <s v="Ravindu"/>
    <x v="1"/>
    <s v="Business"/>
    <n v="3321000"/>
    <n v="9.25"/>
    <x v="30"/>
    <x v="0"/>
    <x v="0"/>
    <x v="4"/>
    <n v="271300"/>
  </r>
  <r>
    <s v="LN0032"/>
    <s v="C0032"/>
    <s v="Pavani"/>
    <x v="2"/>
    <s v="Personal"/>
    <n v="1284000"/>
    <n v="12.5"/>
    <x v="31"/>
    <x v="0"/>
    <x v="1"/>
    <x v="2"/>
    <n v="278600"/>
  </r>
  <r>
    <s v="LN0033"/>
    <s v="C0033"/>
    <s v="Nimal"/>
    <x v="3"/>
    <s v="Vehicle"/>
    <n v="1851000"/>
    <n v="10.25"/>
    <x v="32"/>
    <x v="0"/>
    <x v="2"/>
    <x v="0"/>
    <n v="285900"/>
  </r>
  <r>
    <s v="LN0034"/>
    <s v="C0034"/>
    <s v="Kumari"/>
    <x v="4"/>
    <s v="Education"/>
    <n v="746000"/>
    <n v="8"/>
    <x v="33"/>
    <x v="1"/>
    <x v="0"/>
    <x v="1"/>
    <n v="293200"/>
  </r>
  <r>
    <s v="LN0035"/>
    <s v="C0035"/>
    <s v="Hasini"/>
    <x v="3"/>
    <s v="Vehicle"/>
    <n v="1945000"/>
    <n v="9.5"/>
    <x v="34"/>
    <x v="1"/>
    <x v="1"/>
    <x v="2"/>
    <n v="300500"/>
  </r>
  <r>
    <s v="LN0036"/>
    <s v="C0036"/>
    <s v="Kasun"/>
    <x v="4"/>
    <s v="Education"/>
    <n v="784000"/>
    <n v="7.25"/>
    <x v="35"/>
    <x v="0"/>
    <x v="0"/>
    <x v="0"/>
    <n v="307800"/>
  </r>
  <r>
    <s v="LN0037"/>
    <s v="C0037"/>
    <s v="Madhavi"/>
    <x v="5"/>
    <s v="Home"/>
    <n v="8401000"/>
    <n v="8"/>
    <x v="36"/>
    <x v="2"/>
    <x v="1"/>
    <x v="1"/>
    <n v="315100"/>
  </r>
  <r>
    <s v="LN0038"/>
    <s v="C0038"/>
    <s v="Kamal"/>
    <x v="6"/>
    <s v="Business"/>
    <n v="3958000"/>
    <n v="9.75"/>
    <x v="37"/>
    <x v="0"/>
    <x v="2"/>
    <x v="2"/>
    <n v="322400"/>
  </r>
  <r>
    <s v="LN0039"/>
    <s v="C0039"/>
    <s v="Nadeesha"/>
    <x v="0"/>
    <s v="Personal"/>
    <n v="1543000"/>
    <n v="13"/>
    <x v="38"/>
    <x v="1"/>
    <x v="0"/>
    <x v="0"/>
    <n v="329700"/>
  </r>
  <r>
    <s v="LN0040"/>
    <s v="C0040"/>
    <s v="Dinuka"/>
    <x v="1"/>
    <s v="Business"/>
    <n v="4140000"/>
    <n v="9"/>
    <x v="39"/>
    <x v="0"/>
    <x v="1"/>
    <x v="3"/>
    <n v="337000"/>
  </r>
  <r>
    <s v="LN0041"/>
    <s v="C0041"/>
    <s v="Ishara"/>
    <x v="2"/>
    <s v="Personal"/>
    <n v="1617000"/>
    <n v="12.25"/>
    <x v="40"/>
    <x v="2"/>
    <x v="2"/>
    <x v="4"/>
    <n v="344300"/>
  </r>
  <r>
    <s v="LN0042"/>
    <s v="C0042"/>
    <s v="Ruwan"/>
    <x v="1"/>
    <s v="Vehicle"/>
    <n v="2274000"/>
    <n v="10"/>
    <x v="41"/>
    <x v="2"/>
    <x v="0"/>
    <x v="5"/>
    <n v="351600"/>
  </r>
  <r>
    <s v="LN0043"/>
    <s v="C0043"/>
    <s v="Saman"/>
    <x v="2"/>
    <s v="Education"/>
    <n v="917000"/>
    <n v="7.75"/>
    <x v="42"/>
    <x v="1"/>
    <x v="1"/>
    <x v="3"/>
    <n v="358900"/>
  </r>
  <r>
    <s v="LN0044"/>
    <s v="C0044"/>
    <s v="Sachini"/>
    <x v="3"/>
    <s v="Home"/>
    <n v="9612000"/>
    <n v="8.5"/>
    <x v="43"/>
    <x v="1"/>
    <x v="2"/>
    <x v="4"/>
    <n v="366200"/>
  </r>
  <r>
    <s v="LN0045"/>
    <s v="C0045"/>
    <s v="Ravindu"/>
    <x v="4"/>
    <s v="Education"/>
    <n v="955000"/>
    <n v="7"/>
    <x v="44"/>
    <x v="2"/>
    <x v="1"/>
    <x v="5"/>
    <n v="373500"/>
  </r>
  <r>
    <s v="LN0046"/>
    <s v="C0046"/>
    <s v="Pavani"/>
    <x v="5"/>
    <s v="Home"/>
    <n v="9958000"/>
    <n v="7.75"/>
    <x v="45"/>
    <x v="2"/>
    <x v="2"/>
    <x v="3"/>
    <n v="380800"/>
  </r>
  <r>
    <s v="LN0047"/>
    <s v="C0047"/>
    <s v="Chathura"/>
    <x v="6"/>
    <s v="Business"/>
    <n v="4777000"/>
    <n v="9.5"/>
    <x v="46"/>
    <x v="2"/>
    <x v="0"/>
    <x v="4"/>
    <n v="388100"/>
  </r>
  <r>
    <s v="LN0048"/>
    <s v="C0048"/>
    <s v="Sunil"/>
    <x v="0"/>
    <s v="Personal"/>
    <n v="1876000"/>
    <n v="12.75"/>
    <x v="47"/>
    <x v="0"/>
    <x v="1"/>
    <x v="2"/>
    <n v="395400"/>
  </r>
  <r>
    <s v="LN0049"/>
    <s v="C0049"/>
    <s v="Malith"/>
    <x v="6"/>
    <s v="Vehicle"/>
    <n v="2603000"/>
    <n v="10.5"/>
    <x v="48"/>
    <x v="1"/>
    <x v="2"/>
    <x v="0"/>
    <n v="402700"/>
  </r>
  <r>
    <s v="LN0050"/>
    <s v="C0050"/>
    <s v="Sewmi"/>
    <x v="0"/>
    <s v="Personal"/>
    <n v="1950000"/>
    <n v="12"/>
    <x v="49"/>
    <x v="1"/>
    <x v="0"/>
    <x v="1"/>
    <n v="410000"/>
  </r>
  <r>
    <s v="LN0051"/>
    <s v="C0051"/>
    <s v="Dilan"/>
    <x v="1"/>
    <s v="Vehicle"/>
    <n v="2697000"/>
    <n v="9.75"/>
    <x v="50"/>
    <x v="1"/>
    <x v="1"/>
    <x v="2"/>
    <n v="417300"/>
  </r>
  <r>
    <s v="LN0052"/>
    <s v="C0052"/>
    <s v="Nimal"/>
    <x v="2"/>
    <s v="Education"/>
    <n v="1088000"/>
    <n v="7.5"/>
    <x v="51"/>
    <x v="1"/>
    <x v="2"/>
    <x v="0"/>
    <n v="424600"/>
  </r>
  <r>
    <s v="LN0053"/>
    <s v="C0053"/>
    <s v="Kumari"/>
    <x v="3"/>
    <s v="Home"/>
    <n v="3169000"/>
    <n v="8.25"/>
    <x v="52"/>
    <x v="2"/>
    <x v="0"/>
    <x v="1"/>
    <n v="431900"/>
  </r>
  <r>
    <s v="LN0054"/>
    <s v="C0054"/>
    <s v="Hasini"/>
    <x v="4"/>
    <s v="Business"/>
    <n v="5414000"/>
    <n v="10"/>
    <x v="53"/>
    <x v="1"/>
    <x v="2"/>
    <x v="2"/>
    <n v="439200"/>
  </r>
  <r>
    <s v="LN0055"/>
    <s v="C0055"/>
    <s v="Ishara"/>
    <x v="5"/>
    <s v="Home"/>
    <n v="3515000"/>
    <n v="7.5"/>
    <x v="54"/>
    <x v="1"/>
    <x v="0"/>
    <x v="0"/>
    <n v="46500"/>
  </r>
  <r>
    <s v="LN0056"/>
    <s v="C0056"/>
    <s v="Ruwan"/>
    <x v="4"/>
    <s v="Business"/>
    <n v="5596000"/>
    <n v="9.25"/>
    <x v="55"/>
    <x v="0"/>
    <x v="1"/>
    <x v="3"/>
    <n v="53800"/>
  </r>
  <r>
    <s v="LN0057"/>
    <s v="C0057"/>
    <s v="Saman"/>
    <x v="5"/>
    <s v="Personal"/>
    <n v="2209000"/>
    <n v="12.5"/>
    <x v="56"/>
    <x v="1"/>
    <x v="2"/>
    <x v="4"/>
    <n v="61100"/>
  </r>
  <r>
    <s v="LN0058"/>
    <s v="C0058"/>
    <s v="Tharindu"/>
    <x v="6"/>
    <s v="Vehicle"/>
    <n v="3026000"/>
    <n v="10.25"/>
    <x v="57"/>
    <x v="2"/>
    <x v="0"/>
    <x v="5"/>
    <n v="68400"/>
  </r>
  <r>
    <s v="LN0059"/>
    <s v="C0059"/>
    <s v="Piumi"/>
    <x v="0"/>
    <s v="Education"/>
    <n v="1221000"/>
    <n v="8"/>
    <x v="58"/>
    <x v="1"/>
    <x v="1"/>
    <x v="3"/>
    <n v="75700"/>
  </r>
  <r>
    <s v="LN0060"/>
    <s v="C0060"/>
    <s v="Chamath"/>
    <x v="1"/>
    <s v="Vehicle"/>
    <n v="3120000"/>
    <n v="9.5"/>
    <x v="59"/>
    <x v="2"/>
    <x v="2"/>
    <x v="4"/>
    <n v="83000"/>
  </r>
  <r>
    <s v="LN0061"/>
    <s v="C0061"/>
    <s v="Shalini"/>
    <x v="2"/>
    <s v="Education"/>
    <n v="1259000"/>
    <n v="7.25"/>
    <x v="60"/>
    <x v="0"/>
    <x v="0"/>
    <x v="5"/>
    <n v="90300"/>
  </r>
  <r>
    <s v="LN0062"/>
    <s v="C0062"/>
    <s v="Amara"/>
    <x v="3"/>
    <s v="Home"/>
    <n v="4726000"/>
    <n v="8"/>
    <x v="61"/>
    <x v="0"/>
    <x v="1"/>
    <x v="3"/>
    <n v="97600"/>
  </r>
  <r>
    <s v="LN0063"/>
    <s v="C0063"/>
    <s v="Sachini"/>
    <x v="2"/>
    <s v="Business"/>
    <n v="6233000"/>
    <n v="9.75"/>
    <x v="62"/>
    <x v="2"/>
    <x v="0"/>
    <x v="4"/>
    <n v="104900"/>
  </r>
  <r>
    <s v="LN0064"/>
    <s v="C0064"/>
    <s v="Ravindu"/>
    <x v="3"/>
    <s v="Personal"/>
    <n v="2468000"/>
    <n v="13"/>
    <x v="63"/>
    <x v="0"/>
    <x v="1"/>
    <x v="2"/>
    <n v="112200"/>
  </r>
  <r>
    <s v="LN0065"/>
    <s v="C0065"/>
    <s v="Pavani"/>
    <x v="4"/>
    <s v="Business"/>
    <n v="6415000"/>
    <n v="9"/>
    <x v="64"/>
    <x v="2"/>
    <x v="2"/>
    <x v="0"/>
    <n v="119500"/>
  </r>
  <r>
    <s v="LN0066"/>
    <s v="C0066"/>
    <s v="Nimal"/>
    <x v="5"/>
    <s v="Personal"/>
    <n v="2542000"/>
    <n v="12.25"/>
    <x v="65"/>
    <x v="0"/>
    <x v="0"/>
    <x v="1"/>
    <n v="126800"/>
  </r>
  <r>
    <s v="LN0067"/>
    <s v="C0067"/>
    <s v="Kumari"/>
    <x v="6"/>
    <s v="Vehicle"/>
    <n v="449000"/>
    <n v="10"/>
    <x v="66"/>
    <x v="1"/>
    <x v="1"/>
    <x v="2"/>
    <n v="134100"/>
  </r>
  <r>
    <s v="LN0068"/>
    <s v="C0068"/>
    <s v="Hasini"/>
    <x v="0"/>
    <s v="Education"/>
    <n v="1392000"/>
    <n v="7.75"/>
    <x v="67"/>
    <x v="0"/>
    <x v="2"/>
    <x v="0"/>
    <n v="141400"/>
  </r>
  <r>
    <s v="LN0069"/>
    <s v="C0069"/>
    <s v="Kasun"/>
    <x v="1"/>
    <s v="Home"/>
    <n v="5937000"/>
    <n v="8.5"/>
    <x v="68"/>
    <x v="1"/>
    <x v="0"/>
    <x v="1"/>
    <n v="148700"/>
  </r>
  <r>
    <s v="LN0070"/>
    <s v="C0070"/>
    <s v="Madhavi"/>
    <x v="0"/>
    <s v="Education"/>
    <n v="1430000"/>
    <n v="7"/>
    <x v="69"/>
    <x v="0"/>
    <x v="1"/>
    <x v="2"/>
    <n v="156000"/>
  </r>
  <r>
    <s v="LN0071"/>
    <s v="C0071"/>
    <s v="Kamal"/>
    <x v="1"/>
    <s v="Home"/>
    <n v="6283000"/>
    <n v="7.75"/>
    <x v="70"/>
    <x v="2"/>
    <x v="2"/>
    <x v="0"/>
    <n v="163300"/>
  </r>
  <r>
    <s v="LN0072"/>
    <s v="C0072"/>
    <s v="Nadeesha"/>
    <x v="2"/>
    <s v="Business"/>
    <n v="1052000"/>
    <n v="9.5"/>
    <x v="71"/>
    <x v="0"/>
    <x v="1"/>
    <x v="3"/>
    <n v="170600"/>
  </r>
  <r>
    <s v="LN0073"/>
    <s v="C0073"/>
    <s v="Dinuka"/>
    <x v="3"/>
    <s v="Personal"/>
    <n v="301000"/>
    <n v="12.75"/>
    <x v="72"/>
    <x v="0"/>
    <x v="2"/>
    <x v="4"/>
    <n v="177900"/>
  </r>
  <r>
    <s v="LN0074"/>
    <s v="C0074"/>
    <s v="Ishara"/>
    <x v="4"/>
    <s v="Vehicle"/>
    <n v="778000"/>
    <n v="10.5"/>
    <x v="73"/>
    <x v="1"/>
    <x v="0"/>
    <x v="5"/>
    <n v="185200"/>
  </r>
  <r>
    <s v="LN0075"/>
    <s v="C0075"/>
    <s v="Ruwan"/>
    <x v="5"/>
    <s v="Personal"/>
    <n v="375000"/>
    <n v="12"/>
    <x v="74"/>
    <x v="1"/>
    <x v="1"/>
    <x v="3"/>
    <n v="192500"/>
  </r>
  <r>
    <s v="LN0076"/>
    <s v="C0076"/>
    <s v="Saman"/>
    <x v="6"/>
    <s v="Vehicle"/>
    <n v="872000"/>
    <n v="9.75"/>
    <x v="75"/>
    <x v="2"/>
    <x v="2"/>
    <x v="4"/>
    <n v="199800"/>
  </r>
  <r>
    <s v="LN0077"/>
    <s v="C0077"/>
    <s v="Sachini"/>
    <x v="5"/>
    <s v="Education"/>
    <n v="1563000"/>
    <n v="7.5"/>
    <x v="76"/>
    <x v="2"/>
    <x v="0"/>
    <x v="5"/>
    <n v="207100"/>
  </r>
  <r>
    <s v="LN0078"/>
    <s v="C0078"/>
    <s v="Ravindu"/>
    <x v="6"/>
    <s v="Home"/>
    <n v="7494000"/>
    <n v="8.25"/>
    <x v="77"/>
    <x v="0"/>
    <x v="1"/>
    <x v="3"/>
    <n v="214400"/>
  </r>
  <r>
    <s v="LN0079"/>
    <s v="C0079"/>
    <s v="Pavani"/>
    <x v="0"/>
    <s v="Business"/>
    <n v="1689000"/>
    <n v="10"/>
    <x v="78"/>
    <x v="1"/>
    <x v="2"/>
    <x v="4"/>
    <n v="221700"/>
  </r>
  <r>
    <s v="LN0080"/>
    <s v="C0080"/>
    <s v="Chathura"/>
    <x v="1"/>
    <s v="Home"/>
    <n v="7840000"/>
    <n v="7.5"/>
    <x v="79"/>
    <x v="1"/>
    <x v="0"/>
    <x v="2"/>
    <n v="229000"/>
  </r>
  <r>
    <s v="LN0081"/>
    <s v="C0081"/>
    <s v="Sunil"/>
    <x v="2"/>
    <s v="Business"/>
    <n v="1871000"/>
    <n v="9.25"/>
    <x v="80"/>
    <x v="2"/>
    <x v="2"/>
    <x v="0"/>
    <n v="236300"/>
  </r>
  <r>
    <s v="LN0082"/>
    <s v="C0082"/>
    <s v="Malith"/>
    <x v="3"/>
    <s v="Personal"/>
    <n v="634000"/>
    <n v="12.5"/>
    <x v="81"/>
    <x v="2"/>
    <x v="0"/>
    <x v="1"/>
    <n v="243600"/>
  </r>
  <r>
    <s v="LN0083"/>
    <s v="C0083"/>
    <s v="Sewmi"/>
    <x v="4"/>
    <s v="Vehicle"/>
    <n v="1201000"/>
    <n v="10.25"/>
    <x v="82"/>
    <x v="1"/>
    <x v="1"/>
    <x v="2"/>
    <n v="250900"/>
  </r>
  <r>
    <s v="LN0084"/>
    <s v="C0084"/>
    <s v="Dilan"/>
    <x v="3"/>
    <s v="Education"/>
    <n v="196000"/>
    <n v="8"/>
    <x v="83"/>
    <x v="1"/>
    <x v="2"/>
    <x v="0"/>
    <n v="258200"/>
  </r>
  <r>
    <s v="LN0085"/>
    <s v="C0085"/>
    <s v="Nimal"/>
    <x v="4"/>
    <s v="Vehicle"/>
    <n v="1295000"/>
    <n v="9.5"/>
    <x v="84"/>
    <x v="1"/>
    <x v="0"/>
    <x v="1"/>
    <n v="265500"/>
  </r>
  <r>
    <s v="LN0086"/>
    <s v="C0086"/>
    <s v="Kumari"/>
    <x v="5"/>
    <s v="Education"/>
    <n v="234000"/>
    <n v="7.25"/>
    <x v="85"/>
    <x v="0"/>
    <x v="1"/>
    <x v="2"/>
    <n v="272800"/>
  </r>
  <r>
    <s v="LN0087"/>
    <s v="C0087"/>
    <s v="Hasini"/>
    <x v="6"/>
    <s v="Home"/>
    <n v="9051000"/>
    <n v="8"/>
    <x v="86"/>
    <x v="1"/>
    <x v="2"/>
    <x v="0"/>
    <n v="280100"/>
  </r>
  <r>
    <s v="LN0088"/>
    <s v="C0088"/>
    <s v="Ishara"/>
    <x v="0"/>
    <s v="Business"/>
    <n v="2508000"/>
    <n v="9.75"/>
    <x v="87"/>
    <x v="2"/>
    <x v="0"/>
    <x v="3"/>
    <n v="287400"/>
  </r>
  <r>
    <s v="LN0089"/>
    <s v="C0089"/>
    <s v="Ruwan"/>
    <x v="1"/>
    <s v="Personal"/>
    <n v="893000"/>
    <n v="13"/>
    <x v="88"/>
    <x v="2"/>
    <x v="1"/>
    <x v="4"/>
    <n v="294700"/>
  </r>
  <r>
    <s v="LN0090"/>
    <s v="C0090"/>
    <s v="Saman"/>
    <x v="2"/>
    <s v="Business"/>
    <n v="2690000"/>
    <n v="9"/>
    <x v="89"/>
    <x v="1"/>
    <x v="0"/>
    <x v="5"/>
    <n v="302000"/>
  </r>
  <r>
    <s v="LN0091"/>
    <s v="C0091"/>
    <s v="Tharindu"/>
    <x v="1"/>
    <s v="Personal"/>
    <n v="967000"/>
    <n v="12.25"/>
    <x v="90"/>
    <x v="1"/>
    <x v="1"/>
    <x v="3"/>
    <n v="309300"/>
  </r>
  <r>
    <s v="LN0092"/>
    <s v="C0092"/>
    <s v="Piumi"/>
    <x v="2"/>
    <s v="Vehicle"/>
    <n v="1624000"/>
    <n v="10"/>
    <x v="91"/>
    <x v="1"/>
    <x v="2"/>
    <x v="4"/>
    <n v="316600"/>
  </r>
  <r>
    <s v="LN0093"/>
    <s v="C0093"/>
    <s v="Chamath"/>
    <x v="3"/>
    <s v="Education"/>
    <n v="367000"/>
    <n v="7.75"/>
    <x v="92"/>
    <x v="2"/>
    <x v="0"/>
    <x v="5"/>
    <n v="323900"/>
  </r>
  <r>
    <s v="LN0094"/>
    <s v="C0094"/>
    <s v="Shalini"/>
    <x v="4"/>
    <s v="Home"/>
    <n v="2262000"/>
    <n v="8.5"/>
    <x v="93"/>
    <x v="0"/>
    <x v="1"/>
    <x v="3"/>
    <n v="331200"/>
  </r>
  <r>
    <s v="LN0095"/>
    <s v="C0095"/>
    <s v="Amara"/>
    <x v="5"/>
    <s v="Education"/>
    <n v="405000"/>
    <n v="7"/>
    <x v="94"/>
    <x v="2"/>
    <x v="2"/>
    <x v="4"/>
    <n v="338500"/>
  </r>
  <r>
    <s v="LN0096"/>
    <s v="C0096"/>
    <s v="Sachini"/>
    <x v="6"/>
    <s v="Home"/>
    <n v="2608000"/>
    <n v="7.75"/>
    <x v="95"/>
    <x v="0"/>
    <x v="0"/>
    <x v="2"/>
    <n v="345800"/>
  </r>
  <r>
    <s v="LN0097"/>
    <s v="C0097"/>
    <s v="Ravindu"/>
    <x v="0"/>
    <s v="Business"/>
    <n v="3327000"/>
    <n v="9.5"/>
    <x v="96"/>
    <x v="2"/>
    <x v="1"/>
    <x v="0"/>
    <n v="353100"/>
  </r>
  <r>
    <s v="LN0098"/>
    <s v="C0098"/>
    <s v="Pavani"/>
    <x v="6"/>
    <s v="Personal"/>
    <n v="1226000"/>
    <n v="12.75"/>
    <x v="97"/>
    <x v="0"/>
    <x v="2"/>
    <x v="1"/>
    <n v="360400"/>
  </r>
  <r>
    <s v="LN0099"/>
    <s v="C0099"/>
    <s v="Nimal"/>
    <x v="0"/>
    <s v="Vehicle"/>
    <n v="1953000"/>
    <n v="10.5"/>
    <x v="98"/>
    <x v="1"/>
    <x v="1"/>
    <x v="2"/>
    <n v="367700"/>
  </r>
  <r>
    <s v="LN0100"/>
    <s v="C0100"/>
    <s v="Kumari"/>
    <x v="1"/>
    <s v="Personal"/>
    <n v="1300000"/>
    <n v="12"/>
    <x v="99"/>
    <x v="2"/>
    <x v="2"/>
    <x v="0"/>
    <n v="375000"/>
  </r>
  <r>
    <s v="LN0101"/>
    <s v="C0101"/>
    <s v="Hasini"/>
    <x v="2"/>
    <s v="Vehicle"/>
    <n v="2047000"/>
    <n v="9.75"/>
    <x v="100"/>
    <x v="0"/>
    <x v="0"/>
    <x v="1"/>
    <n v="382300"/>
  </r>
  <r>
    <s v="LN0102"/>
    <s v="C0102"/>
    <s v="Kasun"/>
    <x v="3"/>
    <s v="Education"/>
    <n v="538000"/>
    <n v="7.5"/>
    <x v="101"/>
    <x v="0"/>
    <x v="1"/>
    <x v="2"/>
    <n v="389600"/>
  </r>
  <r>
    <s v="LN0103"/>
    <s v="C0103"/>
    <s v="Madhavi"/>
    <x v="4"/>
    <s v="Home"/>
    <n v="3819000"/>
    <n v="8.25"/>
    <x v="102"/>
    <x v="0"/>
    <x v="2"/>
    <x v="0"/>
    <n v="396900"/>
  </r>
  <r>
    <s v="LN0104"/>
    <s v="C0104"/>
    <s v="Kamal"/>
    <x v="5"/>
    <s v="Business"/>
    <n v="3964000"/>
    <n v="10"/>
    <x v="103"/>
    <x v="1"/>
    <x v="0"/>
    <x v="3"/>
    <n v="404200"/>
  </r>
  <r>
    <s v="LN0105"/>
    <s v="C0105"/>
    <s v="Nadeesha"/>
    <x v="4"/>
    <s v="Home"/>
    <n v="4165000"/>
    <n v="7.5"/>
    <x v="104"/>
    <x v="2"/>
    <x v="1"/>
    <x v="4"/>
    <n v="411500"/>
  </r>
  <r>
    <s v="LN0106"/>
    <s v="C0106"/>
    <s v="Dinuka"/>
    <x v="5"/>
    <s v="Business"/>
    <n v="4146000"/>
    <n v="9.25"/>
    <x v="105"/>
    <x v="2"/>
    <x v="2"/>
    <x v="5"/>
    <n v="418800"/>
  </r>
  <r>
    <s v="LN0107"/>
    <s v="C0107"/>
    <s v="Ishara"/>
    <x v="6"/>
    <s v="Personal"/>
    <n v="1559000"/>
    <n v="12.5"/>
    <x v="106"/>
    <x v="2"/>
    <x v="0"/>
    <x v="3"/>
    <n v="426100"/>
  </r>
  <r>
    <s v="LN0108"/>
    <s v="C0108"/>
    <s v="Ruwan"/>
    <x v="0"/>
    <s v="Vehicle"/>
    <n v="2376000"/>
    <n v="10.25"/>
    <x v="107"/>
    <x v="0"/>
    <x v="2"/>
    <x v="4"/>
    <n v="433400"/>
  </r>
  <r>
    <s v="LN0109"/>
    <s v="C0109"/>
    <s v="Saman"/>
    <x v="1"/>
    <s v="Education"/>
    <n v="671000"/>
    <n v="8"/>
    <x v="108"/>
    <x v="1"/>
    <x v="0"/>
    <x v="5"/>
    <n v="440700"/>
  </r>
  <r>
    <s v="LN0110"/>
    <s v="C0110"/>
    <s v="Sachini"/>
    <x v="2"/>
    <s v="Vehicle"/>
    <n v="2470000"/>
    <n v="9.5"/>
    <x v="109"/>
    <x v="0"/>
    <x v="1"/>
    <x v="3"/>
    <n v="48000"/>
  </r>
  <r>
    <s v="LN0111"/>
    <s v="C0111"/>
    <s v="Ravindu"/>
    <x v="3"/>
    <s v="Education"/>
    <n v="709000"/>
    <n v="7.25"/>
    <x v="110"/>
    <x v="2"/>
    <x v="2"/>
    <x v="4"/>
    <n v="55300"/>
  </r>
  <r>
    <s v="LN0112"/>
    <s v="C0112"/>
    <s v="Pavani"/>
    <x v="2"/>
    <s v="Home"/>
    <n v="5376000"/>
    <n v="8"/>
    <x v="111"/>
    <x v="2"/>
    <x v="0"/>
    <x v="2"/>
    <n v="62600"/>
  </r>
  <r>
    <s v="LN0113"/>
    <s v="C0113"/>
    <s v="Chathura"/>
    <x v="3"/>
    <s v="Business"/>
    <n v="4783000"/>
    <n v="9.75"/>
    <x v="112"/>
    <x v="2"/>
    <x v="1"/>
    <x v="0"/>
    <n v="69900"/>
  </r>
  <r>
    <s v="LN0114"/>
    <s v="C0114"/>
    <s v="Sunil"/>
    <x v="4"/>
    <s v="Personal"/>
    <n v="1818000"/>
    <n v="13"/>
    <x v="113"/>
    <x v="1"/>
    <x v="2"/>
    <x v="1"/>
    <n v="77200"/>
  </r>
  <r>
    <s v="LN0115"/>
    <s v="C0115"/>
    <s v="Malith"/>
    <x v="5"/>
    <s v="Business"/>
    <n v="4965000"/>
    <n v="9"/>
    <x v="114"/>
    <x v="1"/>
    <x v="0"/>
    <x v="2"/>
    <n v="84500"/>
  </r>
  <r>
    <s v="LN0116"/>
    <s v="C0116"/>
    <s v="Sewmi"/>
    <x v="6"/>
    <s v="Personal"/>
    <n v="1892000"/>
    <n v="12.25"/>
    <x v="115"/>
    <x v="0"/>
    <x v="1"/>
    <x v="0"/>
    <n v="91800"/>
  </r>
  <r>
    <s v="LN0117"/>
    <s v="C0117"/>
    <s v="Dilan"/>
    <x v="0"/>
    <s v="Vehicle"/>
    <n v="2799000"/>
    <n v="10"/>
    <x v="116"/>
    <x v="2"/>
    <x v="0"/>
    <x v="1"/>
    <n v="99100"/>
  </r>
  <r>
    <s v="LN0118"/>
    <s v="C0118"/>
    <s v="Nimal"/>
    <x v="1"/>
    <s v="Education"/>
    <n v="842000"/>
    <n v="7.75"/>
    <x v="117"/>
    <x v="0"/>
    <x v="1"/>
    <x v="2"/>
    <n v="106400"/>
  </r>
  <r>
    <s v="LN0119"/>
    <s v="C0119"/>
    <s v="Kumari"/>
    <x v="0"/>
    <s v="Home"/>
    <n v="6587000"/>
    <n v="8.5"/>
    <x v="118"/>
    <x v="1"/>
    <x v="2"/>
    <x v="0"/>
    <n v="113700"/>
  </r>
  <r>
    <s v="LN0120"/>
    <s v="C0120"/>
    <s v="Hasini"/>
    <x v="1"/>
    <s v="Education"/>
    <n v="880000"/>
    <n v="7"/>
    <x v="119"/>
    <x v="1"/>
    <x v="0"/>
    <x v="3"/>
    <n v="121000"/>
  </r>
  <r>
    <s v="LN0121"/>
    <s v="C0121"/>
    <s v="Ishara"/>
    <x v="2"/>
    <s v="Home"/>
    <n v="6933000"/>
    <n v="7.75"/>
    <x v="120"/>
    <x v="2"/>
    <x v="1"/>
    <x v="4"/>
    <n v="128300"/>
  </r>
  <r>
    <s v="LN0122"/>
    <s v="C0122"/>
    <s v="Ruwan"/>
    <x v="3"/>
    <s v="Business"/>
    <n v="5602000"/>
    <n v="9.5"/>
    <x v="121"/>
    <x v="1"/>
    <x v="2"/>
    <x v="5"/>
    <n v="135600"/>
  </r>
  <r>
    <s v="LN0123"/>
    <s v="C0123"/>
    <s v="Saman"/>
    <x v="4"/>
    <s v="Personal"/>
    <n v="2151000"/>
    <n v="12.75"/>
    <x v="122"/>
    <x v="2"/>
    <x v="0"/>
    <x v="3"/>
    <n v="142900"/>
  </r>
  <r>
    <s v="LN0124"/>
    <s v="C0124"/>
    <s v="Tharindu"/>
    <x v="5"/>
    <s v="Vehicle"/>
    <n v="3128000"/>
    <n v="10.5"/>
    <x v="123"/>
    <x v="0"/>
    <x v="1"/>
    <x v="4"/>
    <n v="150200"/>
  </r>
  <r>
    <s v="LN0125"/>
    <s v="C0125"/>
    <s v="Piumi"/>
    <x v="6"/>
    <s v="Personal"/>
    <n v="2225000"/>
    <n v="12"/>
    <x v="124"/>
    <x v="2"/>
    <x v="2"/>
    <x v="5"/>
    <n v="157500"/>
  </r>
  <r>
    <s v="LN0126"/>
    <s v="C0126"/>
    <s v="Chamath"/>
    <x v="5"/>
    <s v="Vehicle"/>
    <n v="3222000"/>
    <n v="9.75"/>
    <x v="125"/>
    <x v="0"/>
    <x v="1"/>
    <x v="3"/>
    <n v="164800"/>
  </r>
  <r>
    <s v="LN0127"/>
    <s v="C0127"/>
    <s v="Shalini"/>
    <x v="6"/>
    <s v="Education"/>
    <n v="1013000"/>
    <n v="7.5"/>
    <x v="126"/>
    <x v="1"/>
    <x v="2"/>
    <x v="4"/>
    <n v="172100"/>
  </r>
  <r>
    <s v="LN0128"/>
    <s v="C0128"/>
    <s v="Amara"/>
    <x v="0"/>
    <s v="Home"/>
    <n v="8144000"/>
    <n v="8.25"/>
    <x v="127"/>
    <x v="2"/>
    <x v="0"/>
    <x v="2"/>
    <n v="179400"/>
  </r>
  <r>
    <s v="LN0129"/>
    <s v="C0129"/>
    <s v="Sachini"/>
    <x v="1"/>
    <s v="Business"/>
    <n v="6239000"/>
    <n v="10"/>
    <x v="128"/>
    <x v="2"/>
    <x v="1"/>
    <x v="0"/>
    <n v="186700"/>
  </r>
  <r>
    <s v="LN0130"/>
    <s v="C0130"/>
    <s v="Ravindu"/>
    <x v="2"/>
    <s v="Home"/>
    <n v="8490000"/>
    <n v="7.5"/>
    <x v="129"/>
    <x v="2"/>
    <x v="2"/>
    <x v="1"/>
    <n v="194000"/>
  </r>
  <r>
    <s v="LN0131"/>
    <s v="C0131"/>
    <s v="Pavani"/>
    <x v="3"/>
    <s v="Business"/>
    <n v="6421000"/>
    <n v="9.25"/>
    <x v="130"/>
    <x v="0"/>
    <x v="0"/>
    <x v="2"/>
    <n v="201300"/>
  </r>
  <r>
    <s v="LN0132"/>
    <s v="C0132"/>
    <s v="Nimal"/>
    <x v="4"/>
    <s v="Personal"/>
    <n v="2484000"/>
    <n v="12.5"/>
    <x v="131"/>
    <x v="0"/>
    <x v="1"/>
    <x v="0"/>
    <n v="208600"/>
  </r>
  <r>
    <s v="LN0133"/>
    <s v="C0133"/>
    <s v="Kumari"/>
    <x v="3"/>
    <s v="Vehicle"/>
    <n v="551000"/>
    <n v="10.25"/>
    <x v="132"/>
    <x v="0"/>
    <x v="2"/>
    <x v="1"/>
    <n v="215900"/>
  </r>
  <r>
    <s v="LN0134"/>
    <s v="C0134"/>
    <s v="Hasini"/>
    <x v="4"/>
    <s v="Education"/>
    <n v="1146000"/>
    <n v="8"/>
    <x v="133"/>
    <x v="1"/>
    <x v="0"/>
    <x v="2"/>
    <n v="223200"/>
  </r>
  <r>
    <s v="LN0135"/>
    <s v="C0135"/>
    <s v="Kasun"/>
    <x v="5"/>
    <s v="Vehicle"/>
    <n v="645000"/>
    <n v="9.5"/>
    <x v="134"/>
    <x v="2"/>
    <x v="2"/>
    <x v="0"/>
    <n v="230500"/>
  </r>
  <r>
    <s v="LN0136"/>
    <s v="C0136"/>
    <s v="Madhavi"/>
    <x v="6"/>
    <s v="Education"/>
    <n v="1184000"/>
    <n v="7.25"/>
    <x v="135"/>
    <x v="0"/>
    <x v="0"/>
    <x v="3"/>
    <n v="237800"/>
  </r>
  <r>
    <s v="LN0137"/>
    <s v="C0137"/>
    <s v="Kamal"/>
    <x v="0"/>
    <s v="Home"/>
    <n v="9701000"/>
    <n v="8"/>
    <x v="136"/>
    <x v="2"/>
    <x v="1"/>
    <x v="4"/>
    <n v="245100"/>
  </r>
  <r>
    <s v="LN0138"/>
    <s v="C0138"/>
    <s v="Nadeesha"/>
    <x v="1"/>
    <s v="Business"/>
    <n v="1058000"/>
    <n v="9.75"/>
    <x v="137"/>
    <x v="0"/>
    <x v="2"/>
    <x v="5"/>
    <n v="252400"/>
  </r>
  <r>
    <s v="LN0139"/>
    <s v="C0139"/>
    <s v="Dinuka"/>
    <x v="2"/>
    <s v="Personal"/>
    <n v="243000"/>
    <n v="13"/>
    <x v="138"/>
    <x v="1"/>
    <x v="0"/>
    <x v="3"/>
    <n v="259700"/>
  </r>
  <r>
    <s v="LN0140"/>
    <s v="C0140"/>
    <s v="Ishara"/>
    <x v="1"/>
    <s v="Business"/>
    <n v="1240000"/>
    <n v="9"/>
    <x v="139"/>
    <x v="0"/>
    <x v="1"/>
    <x v="4"/>
    <n v="267000"/>
  </r>
  <r>
    <s v="LN0141"/>
    <s v="C0141"/>
    <s v="Ruwan"/>
    <x v="2"/>
    <s v="Personal"/>
    <n v="317000"/>
    <n v="12.25"/>
    <x v="140"/>
    <x v="2"/>
    <x v="2"/>
    <x v="5"/>
    <n v="274300"/>
  </r>
  <r>
    <s v="LN0142"/>
    <s v="C0142"/>
    <s v="Saman"/>
    <x v="3"/>
    <s v="Vehicle"/>
    <n v="974000"/>
    <n v="10"/>
    <x v="141"/>
    <x v="2"/>
    <x v="0"/>
    <x v="3"/>
    <n v="281600"/>
  </r>
  <r>
    <s v="LN0143"/>
    <s v="C0143"/>
    <s v="Sachini"/>
    <x v="4"/>
    <s v="Education"/>
    <n v="1317000"/>
    <n v="7.75"/>
    <x v="142"/>
    <x v="1"/>
    <x v="1"/>
    <x v="4"/>
    <n v="288900"/>
  </r>
  <r>
    <s v="LN0144"/>
    <s v="C0144"/>
    <s v="Ravindu"/>
    <x v="5"/>
    <s v="Home"/>
    <n v="2912000"/>
    <n v="8.5"/>
    <x v="143"/>
    <x v="1"/>
    <x v="0"/>
    <x v="2"/>
    <n v="296200"/>
  </r>
  <r>
    <s v="LN0145"/>
    <s v="C0145"/>
    <s v="Pavani"/>
    <x v="6"/>
    <s v="Education"/>
    <n v="1355000"/>
    <n v="7"/>
    <x v="144"/>
    <x v="2"/>
    <x v="1"/>
    <x v="0"/>
    <n v="303500"/>
  </r>
  <r>
    <s v="LN0146"/>
    <s v="C0146"/>
    <s v="Chathura"/>
    <x v="0"/>
    <s v="Home"/>
    <n v="3258000"/>
    <n v="7.75"/>
    <x v="145"/>
    <x v="2"/>
    <x v="2"/>
    <x v="1"/>
    <n v="310800"/>
  </r>
  <r>
    <s v="LN0147"/>
    <s v="C0147"/>
    <s v="Sunil"/>
    <x v="6"/>
    <s v="Business"/>
    <n v="1877000"/>
    <n v="9.5"/>
    <x v="146"/>
    <x v="2"/>
    <x v="0"/>
    <x v="2"/>
    <n v="318100"/>
  </r>
  <r>
    <s v="LN0148"/>
    <s v="C0148"/>
    <s v="Malith"/>
    <x v="0"/>
    <s v="Personal"/>
    <n v="576000"/>
    <n v="12.75"/>
    <x v="147"/>
    <x v="0"/>
    <x v="1"/>
    <x v="0"/>
    <n v="325400"/>
  </r>
  <r>
    <s v="LN0149"/>
    <s v="C0149"/>
    <s v="Sewmi"/>
    <x v="1"/>
    <s v="Vehicle"/>
    <n v="1303000"/>
    <n v="10.5"/>
    <x v="148"/>
    <x v="1"/>
    <x v="2"/>
    <x v="1"/>
    <n v="332700"/>
  </r>
  <r>
    <s v="LN0150"/>
    <s v="C0150"/>
    <s v="Dilan"/>
    <x v="2"/>
    <s v="Personal"/>
    <n v="650000"/>
    <n v="12"/>
    <x v="149"/>
    <x v="1"/>
    <x v="0"/>
    <x v="2"/>
    <n v="340000"/>
  </r>
  <r>
    <s v="LN0151"/>
    <s v="C0151"/>
    <s v="Nimal"/>
    <x v="3"/>
    <s v="Vehicle"/>
    <n v="1397000"/>
    <n v="9.75"/>
    <x v="150"/>
    <x v="1"/>
    <x v="1"/>
    <x v="0"/>
    <n v="347300"/>
  </r>
  <r>
    <s v="LN0152"/>
    <s v="C0152"/>
    <s v="Kumari"/>
    <x v="4"/>
    <s v="Education"/>
    <n v="1488000"/>
    <n v="7.5"/>
    <x v="151"/>
    <x v="1"/>
    <x v="2"/>
    <x v="3"/>
    <n v="354600"/>
  </r>
  <r>
    <s v="LN0153"/>
    <s v="C0153"/>
    <s v="Hasini"/>
    <x v="5"/>
    <s v="Home"/>
    <n v="4469000"/>
    <n v="8.25"/>
    <x v="152"/>
    <x v="2"/>
    <x v="1"/>
    <x v="4"/>
    <n v="361900"/>
  </r>
  <r>
    <s v="LN0154"/>
    <s v="C0154"/>
    <s v="Ishara"/>
    <x v="4"/>
    <s v="Business"/>
    <n v="2514000"/>
    <n v="10"/>
    <x v="153"/>
    <x v="1"/>
    <x v="2"/>
    <x v="5"/>
    <n v="369200"/>
  </r>
  <r>
    <s v="LN0155"/>
    <s v="C0155"/>
    <s v="Ruwan"/>
    <x v="5"/>
    <s v="Home"/>
    <n v="4815000"/>
    <n v="7.5"/>
    <x v="154"/>
    <x v="1"/>
    <x v="0"/>
    <x v="3"/>
    <n v="376500"/>
  </r>
  <r>
    <s v="LN0156"/>
    <s v="C0156"/>
    <s v="Saman"/>
    <x v="6"/>
    <s v="Business"/>
    <n v="2696000"/>
    <n v="9.25"/>
    <x v="155"/>
    <x v="0"/>
    <x v="1"/>
    <x v="4"/>
    <n v="383800"/>
  </r>
  <r>
    <s v="LN0157"/>
    <s v="C0157"/>
    <s v="Tharindu"/>
    <x v="0"/>
    <s v="Personal"/>
    <n v="909000"/>
    <n v="12.5"/>
    <x v="156"/>
    <x v="1"/>
    <x v="2"/>
    <x v="5"/>
    <n v="391100"/>
  </r>
  <r>
    <s v="LN0158"/>
    <s v="C0158"/>
    <s v="Piumi"/>
    <x v="1"/>
    <s v="Vehicle"/>
    <n v="1726000"/>
    <n v="10.25"/>
    <x v="157"/>
    <x v="2"/>
    <x v="0"/>
    <x v="3"/>
    <n v="398400"/>
  </r>
  <r>
    <s v="LN0159"/>
    <s v="C0159"/>
    <s v="Chamath"/>
    <x v="2"/>
    <s v="Education"/>
    <n v="121000"/>
    <n v="8"/>
    <x v="158"/>
    <x v="1"/>
    <x v="1"/>
    <x v="4"/>
    <n v="405700"/>
  </r>
  <r>
    <s v="LN0160"/>
    <s v="C0160"/>
    <s v="Shalini"/>
    <x v="3"/>
    <s v="Vehicle"/>
    <n v="1820000"/>
    <n v="9.5"/>
    <x v="159"/>
    <x v="2"/>
    <x v="2"/>
    <x v="2"/>
    <n v="413000"/>
  </r>
  <r>
    <s v="LN0161"/>
    <s v="C0161"/>
    <s v="Amara"/>
    <x v="2"/>
    <s v="Education"/>
    <n v="159000"/>
    <n v="7.25"/>
    <x v="160"/>
    <x v="0"/>
    <x v="0"/>
    <x v="0"/>
    <n v="420300"/>
  </r>
  <r>
    <s v="LN0162"/>
    <s v="C0162"/>
    <s v="Sachini"/>
    <x v="3"/>
    <s v="Home"/>
    <n v="6026000"/>
    <n v="8"/>
    <x v="161"/>
    <x v="1"/>
    <x v="2"/>
    <x v="1"/>
    <n v="427600"/>
  </r>
  <r>
    <s v="LN0163"/>
    <s v="C0163"/>
    <s v="Ravindu"/>
    <x v="4"/>
    <s v="Business"/>
    <n v="3333000"/>
    <n v="9.75"/>
    <x v="162"/>
    <x v="2"/>
    <x v="0"/>
    <x v="2"/>
    <n v="434900"/>
  </r>
  <r>
    <s v="LN0164"/>
    <s v="C0164"/>
    <s v="Pavani"/>
    <x v="5"/>
    <s v="Personal"/>
    <n v="1168000"/>
    <n v="13"/>
    <x v="163"/>
    <x v="0"/>
    <x v="1"/>
    <x v="0"/>
    <n v="442200"/>
  </r>
  <r>
    <s v="LN0165"/>
    <s v="C0165"/>
    <s v="Nimal"/>
    <x v="6"/>
    <s v="Business"/>
    <n v="3515000"/>
    <n v="9"/>
    <x v="164"/>
    <x v="2"/>
    <x v="2"/>
    <x v="1"/>
    <n v="49500"/>
  </r>
  <r>
    <s v="LN0166"/>
    <s v="C0166"/>
    <s v="Kumari"/>
    <x v="0"/>
    <s v="Personal"/>
    <n v="1242000"/>
    <n v="12.25"/>
    <x v="165"/>
    <x v="0"/>
    <x v="0"/>
    <x v="2"/>
    <n v="56800"/>
  </r>
  <r>
    <s v="LN0167"/>
    <s v="C0167"/>
    <s v="Hasini"/>
    <x v="1"/>
    <s v="Vehicle"/>
    <n v="2149000"/>
    <n v="10"/>
    <x v="166"/>
    <x v="1"/>
    <x v="1"/>
    <x v="0"/>
    <n v="64100"/>
  </r>
  <r>
    <s v="LN0168"/>
    <s v="C0168"/>
    <s v="Kasun"/>
    <x v="0"/>
    <s v="Education"/>
    <n v="292000"/>
    <n v="7.75"/>
    <x v="167"/>
    <x v="0"/>
    <x v="2"/>
    <x v="3"/>
    <n v="71400"/>
  </r>
  <r>
    <s v="LN0169"/>
    <s v="C0169"/>
    <s v="Madhavi"/>
    <x v="1"/>
    <s v="Home"/>
    <n v="7237000"/>
    <n v="8.5"/>
    <x v="168"/>
    <x v="1"/>
    <x v="0"/>
    <x v="4"/>
    <n v="78700"/>
  </r>
  <r>
    <s v="LN0170"/>
    <s v="C0170"/>
    <s v="Kamal"/>
    <x v="2"/>
    <s v="Education"/>
    <n v="330000"/>
    <n v="7"/>
    <x v="169"/>
    <x v="0"/>
    <x v="1"/>
    <x v="5"/>
    <n v="86000"/>
  </r>
  <r>
    <s v="LN0171"/>
    <s v="C0171"/>
    <s v="Nadeesha"/>
    <x v="3"/>
    <s v="Home"/>
    <n v="7583000"/>
    <n v="7.75"/>
    <x v="170"/>
    <x v="0"/>
    <x v="0"/>
    <x v="3"/>
    <n v="93300"/>
  </r>
  <r>
    <s v="LN0172"/>
    <s v="C0172"/>
    <s v="Dinuka"/>
    <x v="4"/>
    <s v="Business"/>
    <n v="4152000"/>
    <n v="9.5"/>
    <x v="171"/>
    <x v="0"/>
    <x v="1"/>
    <x v="4"/>
    <n v="100600"/>
  </r>
  <r>
    <s v="LN0173"/>
    <s v="C0173"/>
    <s v="Ishara"/>
    <x v="5"/>
    <s v="Personal"/>
    <n v="1501000"/>
    <n v="12.75"/>
    <x v="172"/>
    <x v="0"/>
    <x v="2"/>
    <x v="5"/>
    <n v="107900"/>
  </r>
  <r>
    <s v="LN0174"/>
    <s v="C0174"/>
    <s v="Ruwan"/>
    <x v="6"/>
    <s v="Vehicle"/>
    <n v="2478000"/>
    <n v="10.5"/>
    <x v="173"/>
    <x v="1"/>
    <x v="0"/>
    <x v="3"/>
    <n v="115200"/>
  </r>
  <r>
    <s v="LN0175"/>
    <s v="C0175"/>
    <s v="Saman"/>
    <x v="5"/>
    <s v="Personal"/>
    <n v="1575000"/>
    <n v="12"/>
    <x v="174"/>
    <x v="1"/>
    <x v="1"/>
    <x v="4"/>
    <n v="122500"/>
  </r>
  <r>
    <s v="LN0176"/>
    <s v="C0176"/>
    <s v="Sachini"/>
    <x v="6"/>
    <s v="Vehicle"/>
    <n v="2572000"/>
    <n v="9.75"/>
    <x v="175"/>
    <x v="2"/>
    <x v="2"/>
    <x v="2"/>
    <n v="129800"/>
  </r>
  <r>
    <s v="LN0177"/>
    <s v="C0177"/>
    <s v="Ravindu"/>
    <x v="0"/>
    <s v="Education"/>
    <n v="463000"/>
    <n v="7.5"/>
    <x v="176"/>
    <x v="2"/>
    <x v="0"/>
    <x v="0"/>
    <n v="137100"/>
  </r>
  <r>
    <s v="LN0178"/>
    <s v="C0178"/>
    <s v="Pavani"/>
    <x v="1"/>
    <s v="Home"/>
    <n v="8794000"/>
    <n v="8.25"/>
    <x v="177"/>
    <x v="0"/>
    <x v="1"/>
    <x v="1"/>
    <n v="144400"/>
  </r>
  <r>
    <s v="LN0179"/>
    <s v="C0179"/>
    <s v="Chathura"/>
    <x v="2"/>
    <s v="Business"/>
    <n v="4789000"/>
    <n v="10"/>
    <x v="178"/>
    <x v="1"/>
    <x v="2"/>
    <x v="2"/>
    <n v="151700"/>
  </r>
  <r>
    <s v="LN0180"/>
    <s v="C0180"/>
    <s v="Sunil"/>
    <x v="3"/>
    <s v="Home"/>
    <n v="9140000"/>
    <n v="7.5"/>
    <x v="179"/>
    <x v="0"/>
    <x v="1"/>
    <x v="0"/>
    <n v="159000"/>
  </r>
  <r>
    <s v="LN0181"/>
    <s v="C0181"/>
    <s v="Malith"/>
    <x v="4"/>
    <s v="Business"/>
    <n v="4971000"/>
    <n v="9.25"/>
    <x v="180"/>
    <x v="2"/>
    <x v="2"/>
    <x v="1"/>
    <n v="166300"/>
  </r>
  <r>
    <s v="LN0182"/>
    <s v="C0182"/>
    <s v="Sewmi"/>
    <x v="3"/>
    <s v="Personal"/>
    <n v="1834000"/>
    <n v="12.5"/>
    <x v="181"/>
    <x v="2"/>
    <x v="0"/>
    <x v="2"/>
    <n v="173600"/>
  </r>
  <r>
    <s v="LN0183"/>
    <s v="C0183"/>
    <s v="Dilan"/>
    <x v="4"/>
    <s v="Vehicle"/>
    <n v="2901000"/>
    <n v="10.25"/>
    <x v="182"/>
    <x v="1"/>
    <x v="1"/>
    <x v="0"/>
    <n v="180900"/>
  </r>
  <r>
    <s v="LN0184"/>
    <s v="C0184"/>
    <s v="Nimal"/>
    <x v="5"/>
    <s v="Education"/>
    <n v="596000"/>
    <n v="8"/>
    <x v="183"/>
    <x v="1"/>
    <x v="2"/>
    <x v="3"/>
    <n v="188200"/>
  </r>
  <r>
    <s v="LN0185"/>
    <s v="C0185"/>
    <s v="Kumari"/>
    <x v="6"/>
    <s v="Vehicle"/>
    <n v="2995000"/>
    <n v="9.5"/>
    <x v="184"/>
    <x v="1"/>
    <x v="0"/>
    <x v="4"/>
    <n v="195500"/>
  </r>
  <r>
    <s v="LN0186"/>
    <s v="C0186"/>
    <s v="Hasini"/>
    <x v="0"/>
    <s v="Education"/>
    <n v="634000"/>
    <n v="7.25"/>
    <x v="185"/>
    <x v="0"/>
    <x v="1"/>
    <x v="5"/>
    <n v="202800"/>
  </r>
  <r>
    <s v="LN0187"/>
    <s v="C0187"/>
    <s v="Ishara"/>
    <x v="1"/>
    <s v="Home"/>
    <n v="2351000"/>
    <n v="8"/>
    <x v="186"/>
    <x v="1"/>
    <x v="2"/>
    <x v="3"/>
    <n v="210100"/>
  </r>
  <r>
    <s v="LN0188"/>
    <s v="C0188"/>
    <s v="Ruwan"/>
    <x v="2"/>
    <s v="Business"/>
    <n v="5608000"/>
    <n v="9.75"/>
    <x v="187"/>
    <x v="2"/>
    <x v="0"/>
    <x v="4"/>
    <n v="217400"/>
  </r>
  <r>
    <s v="LN0189"/>
    <s v="C0189"/>
    <s v="Saman"/>
    <x v="1"/>
    <s v="Personal"/>
    <n v="2093000"/>
    <n v="13"/>
    <x v="188"/>
    <x v="1"/>
    <x v="2"/>
    <x v="5"/>
    <n v="224700"/>
  </r>
  <r>
    <s v="LN0190"/>
    <s v="C0190"/>
    <s v="Tharindu"/>
    <x v="2"/>
    <s v="Business"/>
    <n v="5790000"/>
    <n v="9"/>
    <x v="189"/>
    <x v="1"/>
    <x v="0"/>
    <x v="3"/>
    <n v="232000"/>
  </r>
  <r>
    <s v="LN0191"/>
    <s v="C0191"/>
    <s v="Piumi"/>
    <x v="3"/>
    <s v="Personal"/>
    <n v="2167000"/>
    <n v="12.25"/>
    <x v="190"/>
    <x v="1"/>
    <x v="1"/>
    <x v="4"/>
    <n v="239300"/>
  </r>
  <r>
    <s v="LN0192"/>
    <s v="C0192"/>
    <s v="Chamath"/>
    <x v="4"/>
    <s v="Vehicle"/>
    <n v="324000"/>
    <n v="10"/>
    <x v="191"/>
    <x v="1"/>
    <x v="2"/>
    <x v="2"/>
    <n v="246600"/>
  </r>
  <r>
    <s v="LN0193"/>
    <s v="C0193"/>
    <s v="Shalini"/>
    <x v="5"/>
    <s v="Education"/>
    <n v="767000"/>
    <n v="7.75"/>
    <x v="192"/>
    <x v="2"/>
    <x v="0"/>
    <x v="0"/>
    <n v="253900"/>
  </r>
  <r>
    <s v="LN0194"/>
    <s v="C0194"/>
    <s v="Amara"/>
    <x v="6"/>
    <s v="Home"/>
    <n v="3562000"/>
    <n v="8.5"/>
    <x v="193"/>
    <x v="0"/>
    <x v="1"/>
    <x v="1"/>
    <n v="261200"/>
  </r>
  <r>
    <s v="LN0195"/>
    <s v="C0195"/>
    <s v="Sachini"/>
    <x v="0"/>
    <s v="Education"/>
    <n v="805000"/>
    <n v="7"/>
    <x v="194"/>
    <x v="2"/>
    <x v="2"/>
    <x v="2"/>
    <n v="268500"/>
  </r>
  <r>
    <s v="LN0196"/>
    <s v="C0196"/>
    <s v="Ravindu"/>
    <x v="6"/>
    <s v="Home"/>
    <n v="3908000"/>
    <n v="7.75"/>
    <x v="195"/>
    <x v="0"/>
    <x v="0"/>
    <x v="0"/>
    <n v="275800"/>
  </r>
  <r>
    <s v="LN0197"/>
    <s v="C0197"/>
    <s v="Pavani"/>
    <x v="0"/>
    <s v="Business"/>
    <n v="6427000"/>
    <n v="9.5"/>
    <x v="196"/>
    <x v="2"/>
    <x v="1"/>
    <x v="1"/>
    <n v="283100"/>
  </r>
  <r>
    <s v="LN0198"/>
    <s v="C0198"/>
    <s v="Nimal"/>
    <x v="1"/>
    <s v="Personal"/>
    <n v="2426000"/>
    <n v="12.75"/>
    <x v="197"/>
    <x v="2"/>
    <x v="0"/>
    <x v="2"/>
    <n v="290400"/>
  </r>
  <r>
    <s v="LN0199"/>
    <s v="C0199"/>
    <s v="Kumari"/>
    <x v="2"/>
    <s v="Vehicle"/>
    <n v="653000"/>
    <n v="10.5"/>
    <x v="198"/>
    <x v="1"/>
    <x v="1"/>
    <x v="0"/>
    <n v="297700"/>
  </r>
  <r>
    <s v="LN0200"/>
    <s v="C0200"/>
    <s v="Hasini"/>
    <x v="3"/>
    <s v="Personal"/>
    <n v="2500000"/>
    <n v="12"/>
    <x v="199"/>
    <x v="2"/>
    <x v="2"/>
    <x v="3"/>
    <n v="305000"/>
  </r>
  <r>
    <s v="LN0201"/>
    <s v="C0201"/>
    <s v="Kasun"/>
    <x v="4"/>
    <s v="Vehicle"/>
    <n v="747000"/>
    <n v="9.75"/>
    <x v="200"/>
    <x v="0"/>
    <x v="0"/>
    <x v="4"/>
    <n v="312300"/>
  </r>
  <r>
    <s v="LN0202"/>
    <s v="C0202"/>
    <s v="Madhavi"/>
    <x v="5"/>
    <s v="Education"/>
    <n v="938000"/>
    <n v="7.5"/>
    <x v="201"/>
    <x v="0"/>
    <x v="1"/>
    <x v="5"/>
    <n v="319600"/>
  </r>
  <r>
    <s v="LN0203"/>
    <s v="C0203"/>
    <s v="Kamal"/>
    <x v="4"/>
    <s v="Home"/>
    <n v="5119000"/>
    <n v="8.25"/>
    <x v="202"/>
    <x v="0"/>
    <x v="2"/>
    <x v="3"/>
    <n v="326900"/>
  </r>
  <r>
    <s v="LN0204"/>
    <s v="C0204"/>
    <s v="Nadeesha"/>
    <x v="5"/>
    <s v="Business"/>
    <n v="1064000"/>
    <n v="10"/>
    <x v="203"/>
    <x v="1"/>
    <x v="0"/>
    <x v="4"/>
    <n v="334200"/>
  </r>
  <r>
    <s v="LN0205"/>
    <s v="C0205"/>
    <s v="Dinuka"/>
    <x v="6"/>
    <s v="Home"/>
    <n v="5465000"/>
    <n v="7.5"/>
    <x v="204"/>
    <x v="2"/>
    <x v="1"/>
    <x v="5"/>
    <n v="341500"/>
  </r>
  <r>
    <s v="LN0206"/>
    <s v="C0206"/>
    <s v="Ishara"/>
    <x v="0"/>
    <s v="Business"/>
    <n v="1246000"/>
    <n v="9.25"/>
    <x v="205"/>
    <x v="2"/>
    <x v="2"/>
    <x v="3"/>
    <n v="348800"/>
  </r>
  <r>
    <s v="LN0207"/>
    <s v="C0207"/>
    <s v="Ruwan"/>
    <x v="1"/>
    <s v="Personal"/>
    <n v="259000"/>
    <n v="12.5"/>
    <x v="206"/>
    <x v="1"/>
    <x v="1"/>
    <x v="4"/>
    <n v="356100"/>
  </r>
  <r>
    <s v="LN0208"/>
    <s v="C0208"/>
    <s v="Saman"/>
    <x v="2"/>
    <s v="Vehicle"/>
    <n v="1076000"/>
    <n v="10.25"/>
    <x v="207"/>
    <x v="0"/>
    <x v="2"/>
    <x v="2"/>
    <n v="363400"/>
  </r>
  <r>
    <s v="LN0209"/>
    <s v="C0209"/>
    <s v="Sachini"/>
    <x v="3"/>
    <s v="Education"/>
    <n v="1071000"/>
    <n v="8"/>
    <x v="208"/>
    <x v="1"/>
    <x v="0"/>
    <x v="0"/>
    <n v="370700"/>
  </r>
  <r>
    <s v="LN0210"/>
    <s v="C0210"/>
    <s v="Ravindu"/>
    <x v="2"/>
    <s v="Vehicle"/>
    <n v="1170000"/>
    <n v="9.5"/>
    <x v="209"/>
    <x v="0"/>
    <x v="1"/>
    <x v="1"/>
    <n v="378000"/>
  </r>
  <r>
    <s v="LN0211"/>
    <s v="C0211"/>
    <s v="Pavani"/>
    <x v="3"/>
    <s v="Education"/>
    <n v="1109000"/>
    <n v="7.25"/>
    <x v="210"/>
    <x v="2"/>
    <x v="2"/>
    <x v="2"/>
    <n v="385300"/>
  </r>
  <r>
    <s v="LN0212"/>
    <s v="C0212"/>
    <s v="Chathura"/>
    <x v="4"/>
    <s v="Home"/>
    <n v="6676000"/>
    <n v="8"/>
    <x v="211"/>
    <x v="2"/>
    <x v="0"/>
    <x v="0"/>
    <n v="392600"/>
  </r>
  <r>
    <s v="LN0213"/>
    <s v="C0213"/>
    <s v="Sunil"/>
    <x v="5"/>
    <s v="Business"/>
    <n v="1883000"/>
    <n v="9.75"/>
    <x v="212"/>
    <x v="2"/>
    <x v="1"/>
    <x v="1"/>
    <n v="399900"/>
  </r>
  <r>
    <s v="LN0214"/>
    <s v="C0214"/>
    <s v="Malith"/>
    <x v="6"/>
    <s v="Personal"/>
    <n v="518000"/>
    <n v="13"/>
    <x v="213"/>
    <x v="1"/>
    <x v="2"/>
    <x v="2"/>
    <n v="407200"/>
  </r>
  <r>
    <s v="LN0215"/>
    <s v="C0215"/>
    <s v="Sewmi"/>
    <x v="0"/>
    <s v="Business"/>
    <n v="2065000"/>
    <n v="9"/>
    <x v="214"/>
    <x v="1"/>
    <x v="0"/>
    <x v="0"/>
    <n v="414500"/>
  </r>
  <r>
    <s v="LN0216"/>
    <s v="C0216"/>
    <s v="Dilan"/>
    <x v="1"/>
    <s v="Personal"/>
    <n v="592000"/>
    <n v="12.25"/>
    <x v="215"/>
    <x v="2"/>
    <x v="2"/>
    <x v="3"/>
    <n v="421800"/>
  </r>
  <r>
    <s v="LN0217"/>
    <s v="C0217"/>
    <s v="Nimal"/>
    <x v="0"/>
    <s v="Vehicle"/>
    <n v="1499000"/>
    <n v="10"/>
    <x v="216"/>
    <x v="2"/>
    <x v="0"/>
    <x v="4"/>
    <n v="429100"/>
  </r>
  <r>
    <s v="LN0218"/>
    <s v="C0218"/>
    <s v="Kumari"/>
    <x v="1"/>
    <s v="Education"/>
    <n v="1242000"/>
    <n v="7.75"/>
    <x v="217"/>
    <x v="0"/>
    <x v="1"/>
    <x v="5"/>
    <n v="436400"/>
  </r>
  <r>
    <s v="LN0219"/>
    <s v="C0219"/>
    <s v="Hasini"/>
    <x v="2"/>
    <s v="Home"/>
    <n v="7887000"/>
    <n v="8.5"/>
    <x v="218"/>
    <x v="1"/>
    <x v="2"/>
    <x v="3"/>
    <n v="443700"/>
  </r>
  <r>
    <s v="LN0220"/>
    <s v="C0220"/>
    <s v="Ishara"/>
    <x v="3"/>
    <s v="Education"/>
    <n v="1280000"/>
    <n v="7"/>
    <x v="219"/>
    <x v="1"/>
    <x v="0"/>
    <x v="4"/>
    <n v="51000"/>
  </r>
  <r>
    <s v="LN0221"/>
    <s v="C0221"/>
    <s v="Ruwan"/>
    <x v="4"/>
    <s v="Home"/>
    <n v="8233000"/>
    <n v="7.75"/>
    <x v="220"/>
    <x v="2"/>
    <x v="1"/>
    <x v="5"/>
    <n v="58300"/>
  </r>
  <r>
    <s v="LN0222"/>
    <s v="C0222"/>
    <s v="Saman"/>
    <x v="5"/>
    <s v="Business"/>
    <n v="2702000"/>
    <n v="9.5"/>
    <x v="221"/>
    <x v="1"/>
    <x v="2"/>
    <x v="3"/>
    <n v="65600"/>
  </r>
  <r>
    <s v="LN0223"/>
    <s v="C0223"/>
    <s v="Tharindu"/>
    <x v="6"/>
    <s v="Personal"/>
    <n v="851000"/>
    <n v="12.75"/>
    <x v="222"/>
    <x v="2"/>
    <x v="0"/>
    <x v="4"/>
    <n v="72900"/>
  </r>
  <r>
    <s v="LN0224"/>
    <s v="C0224"/>
    <s v="Piumi"/>
    <x v="5"/>
    <s v="Vehicle"/>
    <n v="1828000"/>
    <n v="10.5"/>
    <x v="223"/>
    <x v="0"/>
    <x v="1"/>
    <x v="2"/>
    <n v="80200"/>
  </r>
  <r>
    <s v="LN0225"/>
    <s v="C0225"/>
    <s v="Chamath"/>
    <x v="6"/>
    <s v="Personal"/>
    <n v="925000"/>
    <n v="12"/>
    <x v="224"/>
    <x v="1"/>
    <x v="0"/>
    <x v="0"/>
    <n v="87500"/>
  </r>
  <r>
    <s v="LN0226"/>
    <s v="C0226"/>
    <s v="Shalini"/>
    <x v="0"/>
    <s v="Vehicle"/>
    <n v="1922000"/>
    <n v="9.75"/>
    <x v="225"/>
    <x v="0"/>
    <x v="1"/>
    <x v="1"/>
    <n v="94800"/>
  </r>
  <r>
    <s v="LN0227"/>
    <s v="C0227"/>
    <s v="Amara"/>
    <x v="1"/>
    <s v="Education"/>
    <n v="1413000"/>
    <n v="7.5"/>
    <x v="226"/>
    <x v="1"/>
    <x v="2"/>
    <x v="2"/>
    <n v="102100"/>
  </r>
  <r>
    <s v="LN0228"/>
    <s v="C0228"/>
    <s v="Sachini"/>
    <x v="2"/>
    <s v="Home"/>
    <n v="9444000"/>
    <n v="8.25"/>
    <x v="227"/>
    <x v="2"/>
    <x v="0"/>
    <x v="0"/>
    <n v="109400"/>
  </r>
  <r>
    <s v="LN0229"/>
    <s v="C0229"/>
    <s v="Ravindu"/>
    <x v="3"/>
    <s v="Business"/>
    <n v="3339000"/>
    <n v="10"/>
    <x v="228"/>
    <x v="2"/>
    <x v="1"/>
    <x v="1"/>
    <n v="116700"/>
  </r>
  <r>
    <s v="LN0230"/>
    <s v="C0230"/>
    <s v="Pavani"/>
    <x v="4"/>
    <s v="Home"/>
    <n v="9790000"/>
    <n v="7.5"/>
    <x v="229"/>
    <x v="2"/>
    <x v="2"/>
    <x v="2"/>
    <n v="124000"/>
  </r>
  <r>
    <s v="LN0231"/>
    <s v="C0231"/>
    <s v="Nimal"/>
    <x v="3"/>
    <s v="Business"/>
    <n v="3521000"/>
    <n v="9.25"/>
    <x v="230"/>
    <x v="0"/>
    <x v="0"/>
    <x v="0"/>
    <n v="131300"/>
  </r>
  <r>
    <s v="LN0232"/>
    <s v="C0232"/>
    <s v="Kumari"/>
    <x v="4"/>
    <s v="Personal"/>
    <n v="1184000"/>
    <n v="12.5"/>
    <x v="231"/>
    <x v="0"/>
    <x v="1"/>
    <x v="3"/>
    <n v="138600"/>
  </r>
  <r>
    <s v="LN0233"/>
    <s v="C0233"/>
    <s v="Hasini"/>
    <x v="5"/>
    <s v="Vehicle"/>
    <n v="2251000"/>
    <n v="10.25"/>
    <x v="232"/>
    <x v="0"/>
    <x v="2"/>
    <x v="4"/>
    <n v="145900"/>
  </r>
  <r>
    <s v="LN0234"/>
    <s v="C0234"/>
    <s v="Kasun"/>
    <x v="6"/>
    <s v="Education"/>
    <n v="1546000"/>
    <n v="8"/>
    <x v="233"/>
    <x v="0"/>
    <x v="1"/>
    <x v="5"/>
    <n v="153200"/>
  </r>
  <r>
    <s v="LN0235"/>
    <s v="C0235"/>
    <s v="Madhavi"/>
    <x v="0"/>
    <s v="Vehicle"/>
    <n v="2345000"/>
    <n v="9.5"/>
    <x v="234"/>
    <x v="2"/>
    <x v="2"/>
    <x v="3"/>
    <n v="160500"/>
  </r>
  <r>
    <s v="LN0236"/>
    <s v="C0236"/>
    <s v="Kamal"/>
    <x v="1"/>
    <s v="Education"/>
    <n v="1584000"/>
    <n v="7.25"/>
    <x v="235"/>
    <x v="0"/>
    <x v="0"/>
    <x v="4"/>
    <n v="167800"/>
  </r>
  <r>
    <s v="LN0237"/>
    <s v="C0237"/>
    <s v="Nadeesha"/>
    <x v="2"/>
    <s v="Home"/>
    <n v="3001000"/>
    <n v="8"/>
    <x v="236"/>
    <x v="2"/>
    <x v="1"/>
    <x v="5"/>
    <n v="175100"/>
  </r>
  <r>
    <s v="LN0238"/>
    <s v="C0238"/>
    <s v="Dinuka"/>
    <x v="1"/>
    <s v="Business"/>
    <n v="4158000"/>
    <n v="9.75"/>
    <x v="237"/>
    <x v="0"/>
    <x v="2"/>
    <x v="3"/>
    <n v="182400"/>
  </r>
  <r>
    <s v="LN0239"/>
    <s v="C0239"/>
    <s v="Ishara"/>
    <x v="2"/>
    <s v="Personal"/>
    <n v="1443000"/>
    <n v="13"/>
    <x v="238"/>
    <x v="1"/>
    <x v="0"/>
    <x v="4"/>
    <n v="189700"/>
  </r>
  <r>
    <s v="LN0240"/>
    <s v="C0240"/>
    <s v="Ruwan"/>
    <x v="3"/>
    <s v="Business"/>
    <n v="4340000"/>
    <n v="9"/>
    <x v="239"/>
    <x v="0"/>
    <x v="1"/>
    <x v="2"/>
    <n v="197000"/>
  </r>
  <r>
    <s v="LN0241"/>
    <s v="C0241"/>
    <s v="Saman"/>
    <x v="4"/>
    <s v="Personal"/>
    <n v="1517000"/>
    <n v="12.25"/>
    <x v="240"/>
    <x v="2"/>
    <x v="2"/>
    <x v="0"/>
    <n v="204300"/>
  </r>
  <r>
    <s v="LN0242"/>
    <s v="C0242"/>
    <s v="Sachini"/>
    <x v="5"/>
    <s v="Vehicle"/>
    <n v="2674000"/>
    <n v="10"/>
    <x v="241"/>
    <x v="2"/>
    <x v="0"/>
    <x v="1"/>
    <n v="211600"/>
  </r>
  <r>
    <s v="LN0243"/>
    <s v="C0243"/>
    <s v="Ravindu"/>
    <x v="6"/>
    <s v="Education"/>
    <n v="217000"/>
    <n v="7.75"/>
    <x v="242"/>
    <x v="0"/>
    <x v="2"/>
    <x v="2"/>
    <n v="218900"/>
  </r>
  <r>
    <s v="LN0244"/>
    <s v="C0244"/>
    <s v="Pavani"/>
    <x v="0"/>
    <s v="Home"/>
    <n v="4212000"/>
    <n v="8.5"/>
    <x v="243"/>
    <x v="1"/>
    <x v="0"/>
    <x v="0"/>
    <n v="226200"/>
  </r>
  <r>
    <s v="LN0245"/>
    <s v="C0245"/>
    <s v="Chathura"/>
    <x v="6"/>
    <s v="Education"/>
    <n v="255000"/>
    <n v="7"/>
    <x v="244"/>
    <x v="2"/>
    <x v="1"/>
    <x v="1"/>
    <n v="233500"/>
  </r>
  <r>
    <s v="LN0246"/>
    <s v="C0246"/>
    <s v="Sunil"/>
    <x v="0"/>
    <s v="Home"/>
    <n v="4558000"/>
    <n v="7.75"/>
    <x v="245"/>
    <x v="2"/>
    <x v="2"/>
    <x v="2"/>
    <n v="240800"/>
  </r>
  <r>
    <s v="LN0247"/>
    <s v="C0247"/>
    <s v="Malith"/>
    <x v="1"/>
    <s v="Business"/>
    <n v="4977000"/>
    <n v="9.5"/>
    <x v="246"/>
    <x v="2"/>
    <x v="0"/>
    <x v="0"/>
    <n v="248100"/>
  </r>
  <r>
    <s v="LN0248"/>
    <s v="C0248"/>
    <s v="Sewmi"/>
    <x v="2"/>
    <s v="Personal"/>
    <n v="1776000"/>
    <n v="12.75"/>
    <x v="247"/>
    <x v="0"/>
    <x v="1"/>
    <x v="3"/>
    <n v="255400"/>
  </r>
  <r>
    <s v="LN0249"/>
    <s v="C0249"/>
    <s v="Dilan"/>
    <x v="3"/>
    <s v="Vehicle"/>
    <n v="3003000"/>
    <n v="10.5"/>
    <x v="248"/>
    <x v="1"/>
    <x v="2"/>
    <x v="4"/>
    <n v="262700"/>
  </r>
  <r>
    <s v="LN0250"/>
    <s v="C0250"/>
    <s v="Nimal"/>
    <x v="4"/>
    <s v="Personal"/>
    <n v="1850000"/>
    <n v="12"/>
    <x v="249"/>
    <x v="1"/>
    <x v="0"/>
    <x v="5"/>
    <n v="270000"/>
  </r>
  <r>
    <s v="LN0251"/>
    <s v="C0251"/>
    <s v="Kumari"/>
    <x v="5"/>
    <s v="Vehicle"/>
    <n v="3097000"/>
    <n v="9.75"/>
    <x v="250"/>
    <x v="1"/>
    <x v="1"/>
    <x v="3"/>
    <n v="277300"/>
  </r>
  <r>
    <s v="LN0252"/>
    <s v="C0252"/>
    <s v="Hasini"/>
    <x v="4"/>
    <s v="Education"/>
    <n v="388000"/>
    <n v="7.5"/>
    <x v="251"/>
    <x v="2"/>
    <x v="0"/>
    <x v="4"/>
    <n v="284600"/>
  </r>
  <r>
    <s v="LN0253"/>
    <s v="C0253"/>
    <s v="Ishara"/>
    <x v="5"/>
    <s v="Home"/>
    <n v="5769000"/>
    <n v="8.25"/>
    <x v="252"/>
    <x v="2"/>
    <x v="1"/>
    <x v="5"/>
    <n v="291900"/>
  </r>
  <r>
    <s v="LN0254"/>
    <s v="C0254"/>
    <s v="Ruwan"/>
    <x v="6"/>
    <s v="Business"/>
    <n v="5614000"/>
    <n v="10"/>
    <x v="253"/>
    <x v="1"/>
    <x v="2"/>
    <x v="3"/>
    <n v="299200"/>
  </r>
  <r>
    <s v="LN0255"/>
    <s v="C0255"/>
    <s v="Saman"/>
    <x v="0"/>
    <s v="Home"/>
    <n v="6115000"/>
    <n v="7.5"/>
    <x v="254"/>
    <x v="1"/>
    <x v="0"/>
    <x v="4"/>
    <n v="306500"/>
  </r>
  <r>
    <s v="LN0256"/>
    <s v="C0256"/>
    <s v="Tharindu"/>
    <x v="1"/>
    <s v="Business"/>
    <n v="5796000"/>
    <n v="9.25"/>
    <x v="255"/>
    <x v="0"/>
    <x v="1"/>
    <x v="2"/>
    <n v="313800"/>
  </r>
  <r>
    <s v="LN0257"/>
    <s v="C0257"/>
    <s v="Piumi"/>
    <x v="2"/>
    <s v="Personal"/>
    <n v="2109000"/>
    <n v="12.5"/>
    <x v="256"/>
    <x v="1"/>
    <x v="2"/>
    <x v="0"/>
    <n v="321100"/>
  </r>
  <r>
    <s v="LN0258"/>
    <s v="C0258"/>
    <s v="Chamath"/>
    <x v="3"/>
    <s v="Vehicle"/>
    <n v="426000"/>
    <n v="10.25"/>
    <x v="257"/>
    <x v="2"/>
    <x v="0"/>
    <x v="1"/>
    <n v="328400"/>
  </r>
  <r>
    <s v="LN0259"/>
    <s v="C0259"/>
    <s v="Shalini"/>
    <x v="2"/>
    <s v="Education"/>
    <n v="521000"/>
    <n v="8"/>
    <x v="258"/>
    <x v="1"/>
    <x v="1"/>
    <x v="2"/>
    <n v="335700"/>
  </r>
  <r>
    <s v="LN0260"/>
    <s v="C0260"/>
    <s v="Amara"/>
    <x v="3"/>
    <s v="Vehicle"/>
    <n v="520000"/>
    <n v="9.5"/>
    <x v="259"/>
    <x v="2"/>
    <x v="2"/>
    <x v="0"/>
    <n v="343000"/>
  </r>
  <r>
    <s v="LN0261"/>
    <s v="C0261"/>
    <s v="Sachini"/>
    <x v="4"/>
    <s v="Education"/>
    <n v="559000"/>
    <n v="7.25"/>
    <x v="260"/>
    <x v="2"/>
    <x v="1"/>
    <x v="1"/>
    <n v="350300"/>
  </r>
  <r>
    <s v="LN0262"/>
    <s v="C0262"/>
    <s v="Ravindu"/>
    <x v="5"/>
    <s v="Home"/>
    <n v="7326000"/>
    <n v="8"/>
    <x v="261"/>
    <x v="1"/>
    <x v="2"/>
    <x v="2"/>
    <n v="357600"/>
  </r>
  <r>
    <s v="LN0263"/>
    <s v="C0263"/>
    <s v="Pavani"/>
    <x v="6"/>
    <s v="Business"/>
    <n v="6433000"/>
    <n v="9.75"/>
    <x v="262"/>
    <x v="2"/>
    <x v="0"/>
    <x v="0"/>
    <n v="364900"/>
  </r>
  <r>
    <s v="LN0264"/>
    <s v="C0264"/>
    <s v="Nimal"/>
    <x v="0"/>
    <s v="Personal"/>
    <n v="2368000"/>
    <n v="13"/>
    <x v="263"/>
    <x v="0"/>
    <x v="1"/>
    <x v="3"/>
    <n v="372200"/>
  </r>
  <r>
    <s v="LN0265"/>
    <s v="C0265"/>
    <s v="Kumari"/>
    <x v="1"/>
    <s v="Business"/>
    <n v="615000"/>
    <n v="9"/>
    <x v="264"/>
    <x v="2"/>
    <x v="2"/>
    <x v="4"/>
    <n v="379500"/>
  </r>
  <r>
    <s v="LN0266"/>
    <s v="C0266"/>
    <s v="Hasini"/>
    <x v="0"/>
    <s v="Personal"/>
    <n v="2442000"/>
    <n v="12.25"/>
    <x v="265"/>
    <x v="0"/>
    <x v="0"/>
    <x v="5"/>
    <n v="386800"/>
  </r>
  <r>
    <s v="LN0267"/>
    <s v="C0267"/>
    <s v="Kasun"/>
    <x v="1"/>
    <s v="Vehicle"/>
    <n v="849000"/>
    <n v="10"/>
    <x v="266"/>
    <x v="1"/>
    <x v="1"/>
    <x v="3"/>
    <n v="394100"/>
  </r>
  <r>
    <s v="LN0268"/>
    <s v="C0268"/>
    <s v="Madhavi"/>
    <x v="2"/>
    <s v="Education"/>
    <n v="692000"/>
    <n v="7.75"/>
    <x v="267"/>
    <x v="0"/>
    <x v="2"/>
    <x v="4"/>
    <n v="401400"/>
  </r>
  <r>
    <s v="LN0269"/>
    <s v="C0269"/>
    <s v="Kamal"/>
    <x v="3"/>
    <s v="Home"/>
    <n v="8537000"/>
    <n v="8.5"/>
    <x v="268"/>
    <x v="1"/>
    <x v="0"/>
    <x v="5"/>
    <n v="408700"/>
  </r>
  <r>
    <s v="LN0270"/>
    <s v="C0270"/>
    <s v="Nadeesha"/>
    <x v="4"/>
    <s v="Education"/>
    <n v="730000"/>
    <n v="7"/>
    <x v="269"/>
    <x v="2"/>
    <x v="2"/>
    <x v="3"/>
    <n v="416000"/>
  </r>
  <r>
    <s v="LN0271"/>
    <s v="C0271"/>
    <s v="Dinuka"/>
    <x v="5"/>
    <s v="Home"/>
    <n v="8883000"/>
    <n v="7.75"/>
    <x v="270"/>
    <x v="0"/>
    <x v="0"/>
    <x v="4"/>
    <n v="423300"/>
  </r>
  <r>
    <s v="LN0272"/>
    <s v="C0272"/>
    <s v="Ishara"/>
    <x v="6"/>
    <s v="Business"/>
    <n v="1252000"/>
    <n v="9.5"/>
    <x v="271"/>
    <x v="0"/>
    <x v="1"/>
    <x v="2"/>
    <n v="430600"/>
  </r>
  <r>
    <s v="LN0273"/>
    <s v="C0273"/>
    <s v="Ruwan"/>
    <x v="5"/>
    <s v="Personal"/>
    <n v="201000"/>
    <n v="12.75"/>
    <x v="272"/>
    <x v="0"/>
    <x v="2"/>
    <x v="0"/>
    <n v="437900"/>
  </r>
  <r>
    <s v="LN0274"/>
    <s v="C0274"/>
    <s v="Saman"/>
    <x v="6"/>
    <s v="Vehicle"/>
    <n v="1178000"/>
    <n v="10.5"/>
    <x v="273"/>
    <x v="1"/>
    <x v="0"/>
    <x v="1"/>
    <n v="45200"/>
  </r>
  <r>
    <s v="LN0275"/>
    <s v="C0275"/>
    <s v="Sachini"/>
    <x v="0"/>
    <s v="Personal"/>
    <n v="275000"/>
    <n v="12"/>
    <x v="274"/>
    <x v="1"/>
    <x v="1"/>
    <x v="2"/>
    <n v="52500"/>
  </r>
  <r>
    <s v="LN0276"/>
    <s v="C0276"/>
    <s v="Ravindu"/>
    <x v="1"/>
    <s v="Vehicle"/>
    <n v="1272000"/>
    <n v="9.75"/>
    <x v="275"/>
    <x v="2"/>
    <x v="2"/>
    <x v="0"/>
    <n v="59800"/>
  </r>
  <r>
    <s v="LN0277"/>
    <s v="C0277"/>
    <s v="Pavani"/>
    <x v="2"/>
    <s v="Education"/>
    <n v="863000"/>
    <n v="7.5"/>
    <x v="276"/>
    <x v="2"/>
    <x v="0"/>
    <x v="1"/>
    <n v="67100"/>
  </r>
  <r>
    <s v="LN0278"/>
    <s v="C0278"/>
    <s v="Chathura"/>
    <x v="3"/>
    <s v="Home"/>
    <n v="2094000"/>
    <n v="8.25"/>
    <x v="277"/>
    <x v="0"/>
    <x v="1"/>
    <x v="2"/>
    <n v="74400"/>
  </r>
  <r>
    <s v="LN0279"/>
    <s v="C0279"/>
    <s v="Sunil"/>
    <x v="4"/>
    <s v="Business"/>
    <n v="1889000"/>
    <n v="10"/>
    <x v="278"/>
    <x v="1"/>
    <x v="0"/>
    <x v="0"/>
    <n v="81700"/>
  </r>
  <r>
    <s v="LN0280"/>
    <s v="C0280"/>
    <s v="Malith"/>
    <x v="3"/>
    <s v="Home"/>
    <n v="2440000"/>
    <n v="7.5"/>
    <x v="279"/>
    <x v="0"/>
    <x v="1"/>
    <x v="3"/>
    <n v="89000"/>
  </r>
  <r>
    <s v="LN0281"/>
    <s v="C0281"/>
    <s v="Sewmi"/>
    <x v="4"/>
    <s v="Business"/>
    <n v="2071000"/>
    <n v="9.25"/>
    <x v="280"/>
    <x v="2"/>
    <x v="2"/>
    <x v="4"/>
    <n v="96300"/>
  </r>
  <r>
    <s v="LN0282"/>
    <s v="C0282"/>
    <s v="Dilan"/>
    <x v="5"/>
    <s v="Personal"/>
    <n v="534000"/>
    <n v="12.5"/>
    <x v="281"/>
    <x v="2"/>
    <x v="0"/>
    <x v="5"/>
    <n v="103600"/>
  </r>
  <r>
    <s v="LN0283"/>
    <s v="C0283"/>
    <s v="Nimal"/>
    <x v="6"/>
    <s v="Vehicle"/>
    <n v="1601000"/>
    <n v="10.25"/>
    <x v="282"/>
    <x v="1"/>
    <x v="1"/>
    <x v="3"/>
    <n v="110900"/>
  </r>
  <r>
    <s v="LN0284"/>
    <s v="C0284"/>
    <s v="Kumari"/>
    <x v="0"/>
    <s v="Education"/>
    <n v="996000"/>
    <n v="8"/>
    <x v="283"/>
    <x v="1"/>
    <x v="2"/>
    <x v="4"/>
    <n v="118200"/>
  </r>
  <r>
    <s v="LN0285"/>
    <s v="C0285"/>
    <s v="Hasini"/>
    <x v="1"/>
    <s v="Vehicle"/>
    <n v="1695000"/>
    <n v="9.5"/>
    <x v="284"/>
    <x v="1"/>
    <x v="0"/>
    <x v="5"/>
    <n v="125500"/>
  </r>
  <r>
    <s v="LN0286"/>
    <s v="C0286"/>
    <s v="Ishara"/>
    <x v="2"/>
    <s v="Education"/>
    <n v="1034000"/>
    <n v="7.25"/>
    <x v="285"/>
    <x v="0"/>
    <x v="1"/>
    <x v="3"/>
    <n v="132800"/>
  </r>
  <r>
    <s v="LN0287"/>
    <s v="C0287"/>
    <s v="Ruwan"/>
    <x v="1"/>
    <s v="Home"/>
    <n v="3651000"/>
    <n v="8"/>
    <x v="286"/>
    <x v="1"/>
    <x v="2"/>
    <x v="4"/>
    <n v="140100"/>
  </r>
  <r>
    <s v="LN0288"/>
    <s v="C0288"/>
    <s v="Saman"/>
    <x v="2"/>
    <s v="Business"/>
    <n v="2708000"/>
    <n v="9.75"/>
    <x v="287"/>
    <x v="0"/>
    <x v="1"/>
    <x v="2"/>
    <n v="147400"/>
  </r>
  <r>
    <s v="LN0289"/>
    <s v="C0289"/>
    <s v="Tharindu"/>
    <x v="3"/>
    <s v="Personal"/>
    <n v="793000"/>
    <n v="13"/>
    <x v="288"/>
    <x v="1"/>
    <x v="2"/>
    <x v="0"/>
    <n v="154700"/>
  </r>
  <r>
    <s v="LN0290"/>
    <s v="C0290"/>
    <s v="Piumi"/>
    <x v="4"/>
    <s v="Business"/>
    <n v="2890000"/>
    <n v="9"/>
    <x v="289"/>
    <x v="1"/>
    <x v="0"/>
    <x v="1"/>
    <n v="162000"/>
  </r>
  <r>
    <s v="LN0291"/>
    <s v="C0291"/>
    <s v="Chamath"/>
    <x v="5"/>
    <s v="Personal"/>
    <n v="867000"/>
    <n v="12.25"/>
    <x v="290"/>
    <x v="1"/>
    <x v="1"/>
    <x v="2"/>
    <n v="169300"/>
  </r>
  <r>
    <s v="LN0292"/>
    <s v="C0292"/>
    <s v="Shalini"/>
    <x v="6"/>
    <s v="Vehicle"/>
    <n v="2024000"/>
    <n v="10"/>
    <x v="291"/>
    <x v="1"/>
    <x v="2"/>
    <x v="0"/>
    <n v="176600"/>
  </r>
  <r>
    <s v="LN0293"/>
    <s v="C0293"/>
    <s v="Amara"/>
    <x v="0"/>
    <s v="Education"/>
    <n v="1167000"/>
    <n v="7.75"/>
    <x v="292"/>
    <x v="2"/>
    <x v="0"/>
    <x v="1"/>
    <n v="183900"/>
  </r>
  <r>
    <s v="LN0294"/>
    <s v="C0294"/>
    <s v="Sachini"/>
    <x v="6"/>
    <s v="Home"/>
    <n v="4862000"/>
    <n v="8.5"/>
    <x v="293"/>
    <x v="0"/>
    <x v="1"/>
    <x v="2"/>
    <n v="191200"/>
  </r>
  <r>
    <s v="LN0295"/>
    <s v="C0295"/>
    <s v="Ravindu"/>
    <x v="0"/>
    <s v="Education"/>
    <n v="1205000"/>
    <n v="7"/>
    <x v="294"/>
    <x v="2"/>
    <x v="2"/>
    <x v="0"/>
    <n v="198500"/>
  </r>
  <r>
    <s v="LN0296"/>
    <s v="C0296"/>
    <s v="Pavani"/>
    <x v="1"/>
    <s v="Home"/>
    <n v="5208000"/>
    <n v="7.75"/>
    <x v="295"/>
    <x v="0"/>
    <x v="0"/>
    <x v="3"/>
    <n v="205800"/>
  </r>
  <r>
    <s v="LN0297"/>
    <s v="C0297"/>
    <s v="Nimal"/>
    <x v="2"/>
    <s v="Business"/>
    <n v="3527000"/>
    <n v="9.5"/>
    <x v="296"/>
    <x v="1"/>
    <x v="2"/>
    <x v="4"/>
    <n v="213100"/>
  </r>
  <r>
    <s v="LN0298"/>
    <s v="C0298"/>
    <s v="Kumari"/>
    <x v="3"/>
    <s v="Personal"/>
    <n v="1126000"/>
    <n v="12.75"/>
    <x v="297"/>
    <x v="2"/>
    <x v="0"/>
    <x v="5"/>
    <n v="220400"/>
  </r>
  <r>
    <s v="LN0299"/>
    <s v="C0299"/>
    <s v="Hasini"/>
    <x v="4"/>
    <s v="Vehicle"/>
    <n v="2353000"/>
    <n v="10.5"/>
    <x v="298"/>
    <x v="1"/>
    <x v="1"/>
    <x v="3"/>
    <n v="227700"/>
  </r>
  <r>
    <s v="LN0300"/>
    <s v="C0300"/>
    <s v="Kasun"/>
    <x v="5"/>
    <s v="Personal"/>
    <n v="1200000"/>
    <n v="12"/>
    <x v="299"/>
    <x v="2"/>
    <x v="2"/>
    <x v="4"/>
    <n v="235000"/>
  </r>
  <r>
    <s v="LN0301"/>
    <s v="C0301"/>
    <s v="Madhavi"/>
    <x v="4"/>
    <s v="Vehicle"/>
    <n v="2447000"/>
    <n v="9.75"/>
    <x v="300"/>
    <x v="0"/>
    <x v="0"/>
    <x v="5"/>
    <n v="242300"/>
  </r>
  <r>
    <s v="LN0302"/>
    <s v="C0302"/>
    <s v="Kamal"/>
    <x v="5"/>
    <s v="Education"/>
    <n v="1338000"/>
    <n v="7.5"/>
    <x v="301"/>
    <x v="0"/>
    <x v="1"/>
    <x v="3"/>
    <n v="249600"/>
  </r>
  <r>
    <s v="LN0303"/>
    <s v="C0303"/>
    <s v="Nadeesha"/>
    <x v="6"/>
    <s v="Home"/>
    <n v="6419000"/>
    <n v="8.25"/>
    <x v="302"/>
    <x v="0"/>
    <x v="2"/>
    <x v="4"/>
    <n v="256900"/>
  </r>
  <r>
    <s v="LN0304"/>
    <s v="C0304"/>
    <s v="Dinuka"/>
    <x v="0"/>
    <s v="Business"/>
    <n v="4164000"/>
    <n v="10"/>
    <x v="303"/>
    <x v="1"/>
    <x v="0"/>
    <x v="2"/>
    <n v="264200"/>
  </r>
  <r>
    <s v="LN0305"/>
    <s v="C0305"/>
    <s v="Ishara"/>
    <x v="1"/>
    <s v="Home"/>
    <n v="6765000"/>
    <n v="7.5"/>
    <x v="304"/>
    <x v="2"/>
    <x v="1"/>
    <x v="0"/>
    <n v="271500"/>
  </r>
  <r>
    <s v="LN0306"/>
    <s v="C0306"/>
    <s v="Ruwan"/>
    <x v="2"/>
    <s v="Business"/>
    <n v="4346000"/>
    <n v="9.25"/>
    <x v="305"/>
    <x v="0"/>
    <x v="0"/>
    <x v="1"/>
    <n v="278800"/>
  </r>
  <r>
    <s v="LN0307"/>
    <s v="C0307"/>
    <s v="Saman"/>
    <x v="3"/>
    <s v="Personal"/>
    <n v="1459000"/>
    <n v="12.5"/>
    <x v="306"/>
    <x v="1"/>
    <x v="1"/>
    <x v="2"/>
    <n v="286100"/>
  </r>
  <r>
    <s v="LN0308"/>
    <s v="C0308"/>
    <s v="Sachini"/>
    <x v="2"/>
    <s v="Vehicle"/>
    <n v="2776000"/>
    <n v="10.25"/>
    <x v="307"/>
    <x v="0"/>
    <x v="2"/>
    <x v="0"/>
    <n v="293400"/>
  </r>
  <r>
    <s v="LN0309"/>
    <s v="C0309"/>
    <s v="Ravindu"/>
    <x v="3"/>
    <s v="Education"/>
    <n v="1471000"/>
    <n v="8"/>
    <x v="308"/>
    <x v="1"/>
    <x v="0"/>
    <x v="1"/>
    <n v="300700"/>
  </r>
  <r>
    <s v="LN0310"/>
    <s v="C0310"/>
    <s v="Pavani"/>
    <x v="4"/>
    <s v="Vehicle"/>
    <n v="2870000"/>
    <n v="9.5"/>
    <x v="309"/>
    <x v="0"/>
    <x v="1"/>
    <x v="2"/>
    <n v="308000"/>
  </r>
  <r>
    <s v="LN0311"/>
    <s v="C0311"/>
    <s v="Chathura"/>
    <x v="5"/>
    <s v="Education"/>
    <n v="1509000"/>
    <n v="7.25"/>
    <x v="310"/>
    <x v="2"/>
    <x v="2"/>
    <x v="0"/>
    <n v="315300"/>
  </r>
  <r>
    <s v="LN0312"/>
    <s v="C0312"/>
    <s v="Sunil"/>
    <x v="6"/>
    <s v="Home"/>
    <n v="7976000"/>
    <n v="8"/>
    <x v="311"/>
    <x v="2"/>
    <x v="0"/>
    <x v="3"/>
    <n v="322600"/>
  </r>
  <r>
    <s v="LN0313"/>
    <s v="C0313"/>
    <s v="Malith"/>
    <x v="0"/>
    <s v="Business"/>
    <n v="4983000"/>
    <n v="9.75"/>
    <x v="312"/>
    <x v="2"/>
    <x v="1"/>
    <x v="4"/>
    <n v="329900"/>
  </r>
  <r>
    <s v="LN0314"/>
    <s v="C0314"/>
    <s v="Sewmi"/>
    <x v="1"/>
    <s v="Personal"/>
    <n v="1718000"/>
    <n v="13"/>
    <x v="313"/>
    <x v="1"/>
    <x v="2"/>
    <x v="5"/>
    <n v="337200"/>
  </r>
  <r>
    <s v="LN0315"/>
    <s v="C0315"/>
    <s v="Dilan"/>
    <x v="0"/>
    <s v="Business"/>
    <n v="5165000"/>
    <n v="9"/>
    <x v="314"/>
    <x v="1"/>
    <x v="1"/>
    <x v="3"/>
    <n v="344500"/>
  </r>
  <r>
    <s v="LN0316"/>
    <s v="C0316"/>
    <s v="Nimal"/>
    <x v="1"/>
    <s v="Personal"/>
    <n v="1792000"/>
    <n v="12.25"/>
    <x v="315"/>
    <x v="2"/>
    <x v="2"/>
    <x v="4"/>
    <n v="351800"/>
  </r>
  <r>
    <s v="LN0317"/>
    <s v="C0317"/>
    <s v="Kumari"/>
    <x v="2"/>
    <s v="Vehicle"/>
    <n v="3199000"/>
    <n v="10"/>
    <x v="316"/>
    <x v="2"/>
    <x v="0"/>
    <x v="5"/>
    <n v="359100"/>
  </r>
  <r>
    <s v="LN0318"/>
    <s v="C0318"/>
    <s v="Hasini"/>
    <x v="3"/>
    <s v="Education"/>
    <n v="142000"/>
    <n v="7.75"/>
    <x v="317"/>
    <x v="0"/>
    <x v="1"/>
    <x v="3"/>
    <n v="366400"/>
  </r>
  <r>
    <s v="LN0319"/>
    <s v="C0319"/>
    <s v="Ishara"/>
    <x v="4"/>
    <s v="Home"/>
    <n v="9187000"/>
    <n v="8.5"/>
    <x v="318"/>
    <x v="1"/>
    <x v="2"/>
    <x v="4"/>
    <n v="373700"/>
  </r>
  <r>
    <s v="LN0320"/>
    <s v="C0320"/>
    <s v="Ruwan"/>
    <x v="5"/>
    <s v="Education"/>
    <n v="180000"/>
    <n v="7"/>
    <x v="319"/>
    <x v="1"/>
    <x v="0"/>
    <x v="2"/>
    <n v="381000"/>
  </r>
  <r>
    <s v="LN0321"/>
    <s v="C0321"/>
    <s v="Saman"/>
    <x v="6"/>
    <s v="Home"/>
    <n v="9533000"/>
    <n v="7.75"/>
    <x v="320"/>
    <x v="2"/>
    <x v="1"/>
    <x v="0"/>
    <n v="388300"/>
  </r>
  <r>
    <s v="LN0322"/>
    <s v="C0322"/>
    <s v="Tharindu"/>
    <x v="5"/>
    <s v="Business"/>
    <n v="5802000"/>
    <n v="9.5"/>
    <x v="321"/>
    <x v="1"/>
    <x v="2"/>
    <x v="1"/>
    <n v="395600"/>
  </r>
  <r>
    <s v="LN0323"/>
    <s v="C0323"/>
    <s v="Piumi"/>
    <x v="6"/>
    <s v="Personal"/>
    <n v="2051000"/>
    <n v="12.75"/>
    <x v="322"/>
    <x v="2"/>
    <x v="0"/>
    <x v="2"/>
    <n v="402900"/>
  </r>
  <r>
    <s v="LN0324"/>
    <s v="C0324"/>
    <s v="Chamath"/>
    <x v="0"/>
    <s v="Vehicle"/>
    <n v="528000"/>
    <n v="10.5"/>
    <x v="323"/>
    <x v="1"/>
    <x v="2"/>
    <x v="0"/>
    <n v="410200"/>
  </r>
  <r>
    <s v="LN0325"/>
    <s v="C0325"/>
    <s v="Shalini"/>
    <x v="1"/>
    <s v="Personal"/>
    <n v="2125000"/>
    <n v="12"/>
    <x v="324"/>
    <x v="1"/>
    <x v="0"/>
    <x v="1"/>
    <n v="417500"/>
  </r>
  <r>
    <s v="LN0326"/>
    <s v="C0326"/>
    <s v="Amara"/>
    <x v="2"/>
    <s v="Vehicle"/>
    <n v="622000"/>
    <n v="9.75"/>
    <x v="325"/>
    <x v="0"/>
    <x v="1"/>
    <x v="2"/>
    <n v="424800"/>
  </r>
  <r>
    <s v="LN0327"/>
    <s v="C0327"/>
    <s v="Sachini"/>
    <x v="3"/>
    <s v="Education"/>
    <n v="313000"/>
    <n v="7.5"/>
    <x v="326"/>
    <x v="1"/>
    <x v="2"/>
    <x v="0"/>
    <n v="432100"/>
  </r>
  <r>
    <s v="LN0328"/>
    <s v="C0328"/>
    <s v="Ravindu"/>
    <x v="4"/>
    <s v="Home"/>
    <n v="2744000"/>
    <n v="8.25"/>
    <x v="327"/>
    <x v="2"/>
    <x v="0"/>
    <x v="3"/>
    <n v="439400"/>
  </r>
  <r>
    <s v="LN0329"/>
    <s v="C0329"/>
    <s v="Pavani"/>
    <x v="3"/>
    <s v="Business"/>
    <n v="6439000"/>
    <n v="10"/>
    <x v="328"/>
    <x v="2"/>
    <x v="1"/>
    <x v="4"/>
    <n v="46700"/>
  </r>
  <r>
    <s v="LN0330"/>
    <s v="C0330"/>
    <s v="Nimal"/>
    <x v="4"/>
    <s v="Home"/>
    <n v="3090000"/>
    <n v="7.5"/>
    <x v="329"/>
    <x v="2"/>
    <x v="2"/>
    <x v="5"/>
    <n v="54000"/>
  </r>
  <r>
    <s v="LN0331"/>
    <s v="C0331"/>
    <s v="Kumari"/>
    <x v="5"/>
    <s v="Business"/>
    <n v="621000"/>
    <n v="9.25"/>
    <x v="330"/>
    <x v="0"/>
    <x v="0"/>
    <x v="3"/>
    <n v="61300"/>
  </r>
  <r>
    <s v="LN0332"/>
    <s v="C0332"/>
    <s v="Hasini"/>
    <x v="6"/>
    <s v="Personal"/>
    <n v="2384000"/>
    <n v="12.5"/>
    <x v="331"/>
    <x v="0"/>
    <x v="1"/>
    <x v="4"/>
    <n v="68600"/>
  </r>
  <r>
    <s v="LN0333"/>
    <s v="C0333"/>
    <s v="Kasun"/>
    <x v="0"/>
    <s v="Vehicle"/>
    <n v="951000"/>
    <n v="10.25"/>
    <x v="332"/>
    <x v="2"/>
    <x v="0"/>
    <x v="5"/>
    <n v="75900"/>
  </r>
  <r>
    <s v="LN0334"/>
    <s v="C0334"/>
    <s v="Madhavi"/>
    <x v="1"/>
    <s v="Education"/>
    <n v="446000"/>
    <n v="8"/>
    <x v="333"/>
    <x v="0"/>
    <x v="1"/>
    <x v="3"/>
    <n v="83200"/>
  </r>
  <r>
    <s v="LN0335"/>
    <s v="C0335"/>
    <s v="Kamal"/>
    <x v="2"/>
    <s v="Vehicle"/>
    <n v="1045000"/>
    <n v="9.5"/>
    <x v="334"/>
    <x v="2"/>
    <x v="2"/>
    <x v="4"/>
    <n v="90500"/>
  </r>
  <r>
    <s v="LN0336"/>
    <s v="C0336"/>
    <s v="Nadeesha"/>
    <x v="1"/>
    <s v="Education"/>
    <n v="484000"/>
    <n v="7.25"/>
    <x v="335"/>
    <x v="0"/>
    <x v="0"/>
    <x v="2"/>
    <n v="97800"/>
  </r>
  <r>
    <s v="LN0337"/>
    <s v="C0337"/>
    <s v="Dinuka"/>
    <x v="2"/>
    <s v="Home"/>
    <n v="4301000"/>
    <n v="8"/>
    <x v="336"/>
    <x v="2"/>
    <x v="1"/>
    <x v="0"/>
    <n v="105100"/>
  </r>
  <r>
    <s v="LN0338"/>
    <s v="C0338"/>
    <s v="Ishara"/>
    <x v="3"/>
    <s v="Business"/>
    <n v="1258000"/>
    <n v="9.75"/>
    <x v="337"/>
    <x v="0"/>
    <x v="2"/>
    <x v="1"/>
    <n v="112400"/>
  </r>
  <r>
    <s v="LN0339"/>
    <s v="C0339"/>
    <s v="Ruwan"/>
    <x v="4"/>
    <s v="Personal"/>
    <n v="143000"/>
    <n v="13"/>
    <x v="338"/>
    <x v="1"/>
    <x v="0"/>
    <x v="2"/>
    <n v="119700"/>
  </r>
  <r>
    <s v="LN0340"/>
    <s v="C0340"/>
    <s v="Saman"/>
    <x v="5"/>
    <s v="Business"/>
    <n v="1440000"/>
    <n v="9"/>
    <x v="339"/>
    <x v="0"/>
    <x v="1"/>
    <x v="0"/>
    <n v="127000"/>
  </r>
  <r>
    <s v="LN0341"/>
    <s v="C0341"/>
    <s v="Sachini"/>
    <x v="6"/>
    <s v="Personal"/>
    <n v="217000"/>
    <n v="12.25"/>
    <x v="340"/>
    <x v="2"/>
    <x v="2"/>
    <x v="1"/>
    <n v="134300"/>
  </r>
  <r>
    <s v="LN0342"/>
    <s v="C0342"/>
    <s v="Ravindu"/>
    <x v="0"/>
    <s v="Vehicle"/>
    <n v="1374000"/>
    <n v="10"/>
    <x v="341"/>
    <x v="0"/>
    <x v="1"/>
    <x v="2"/>
    <n v="141600"/>
  </r>
  <r>
    <s v="LN0343"/>
    <s v="C0343"/>
    <s v="Pavani"/>
    <x v="6"/>
    <s v="Education"/>
    <n v="617000"/>
    <n v="7.75"/>
    <x v="342"/>
    <x v="0"/>
    <x v="2"/>
    <x v="0"/>
    <n v="148900"/>
  </r>
  <r>
    <s v="LN0344"/>
    <s v="C0344"/>
    <s v="Chathura"/>
    <x v="0"/>
    <s v="Home"/>
    <n v="5512000"/>
    <n v="8.5"/>
    <x v="343"/>
    <x v="1"/>
    <x v="0"/>
    <x v="3"/>
    <n v="156200"/>
  </r>
  <r>
    <s v="LN0345"/>
    <s v="C0345"/>
    <s v="Sunil"/>
    <x v="1"/>
    <s v="Education"/>
    <n v="655000"/>
    <n v="7"/>
    <x v="344"/>
    <x v="2"/>
    <x v="1"/>
    <x v="4"/>
    <n v="163500"/>
  </r>
  <r>
    <s v="LN0346"/>
    <s v="C0346"/>
    <s v="Malith"/>
    <x v="2"/>
    <s v="Home"/>
    <n v="5858000"/>
    <n v="7.75"/>
    <x v="345"/>
    <x v="2"/>
    <x v="2"/>
    <x v="5"/>
    <n v="170800"/>
  </r>
  <r>
    <s v="LN0347"/>
    <s v="C0347"/>
    <s v="Sewmi"/>
    <x v="3"/>
    <s v="Business"/>
    <n v="2077000"/>
    <n v="9.5"/>
    <x v="346"/>
    <x v="2"/>
    <x v="0"/>
    <x v="3"/>
    <n v="178100"/>
  </r>
  <r>
    <s v="LN0348"/>
    <s v="C0348"/>
    <s v="Dilan"/>
    <x v="4"/>
    <s v="Personal"/>
    <n v="476000"/>
    <n v="12.75"/>
    <x v="347"/>
    <x v="0"/>
    <x v="1"/>
    <x v="4"/>
    <n v="185400"/>
  </r>
  <r>
    <s v="LN0349"/>
    <s v="C0349"/>
    <s v="Nimal"/>
    <x v="5"/>
    <s v="Vehicle"/>
    <n v="1703000"/>
    <n v="10.5"/>
    <x v="348"/>
    <x v="1"/>
    <x v="2"/>
    <x v="5"/>
    <n v="192700"/>
  </r>
  <r>
    <s v="LN0350"/>
    <s v="C0350"/>
    <s v="Kumari"/>
    <x v="4"/>
    <s v="Personal"/>
    <n v="550000"/>
    <n v="12"/>
    <x v="349"/>
    <x v="1"/>
    <x v="0"/>
    <x v="3"/>
    <n v="2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B72699-05D1-4A1B-BE86-C0B87085A20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10" firstHeaderRow="1" firstDataRow="1" firstDataCol="1"/>
  <pivotFields count="14">
    <pivotField showAll="0"/>
    <pivotField showAll="0"/>
    <pivotField showAll="0"/>
    <pivotField axis="axisRow" showAll="0">
      <items count="8">
        <item x="6"/>
        <item x="2"/>
        <item x="1"/>
        <item x="4"/>
        <item x="5"/>
        <item x="3"/>
        <item x="0"/>
        <item t="default"/>
      </items>
    </pivotField>
    <pivotField showAll="0"/>
    <pivotField dataField="1" numFmtId="3" showAll="0"/>
    <pivotField numFmtId="164" showAll="0"/>
    <pivotField showAll="0">
      <items count="351">
        <item x="313"/>
        <item x="104"/>
        <item x="209"/>
        <item x="0"/>
        <item x="314"/>
        <item x="105"/>
        <item x="210"/>
        <item x="1"/>
        <item x="315"/>
        <item x="106"/>
        <item x="211"/>
        <item x="2"/>
        <item x="316"/>
        <item x="107"/>
        <item x="212"/>
        <item x="3"/>
        <item x="317"/>
        <item x="108"/>
        <item x="213"/>
        <item x="4"/>
        <item x="318"/>
        <item x="109"/>
        <item x="214"/>
        <item x="5"/>
        <item x="319"/>
        <item x="110"/>
        <item x="215"/>
        <item x="6"/>
        <item x="320"/>
        <item x="111"/>
        <item x="216"/>
        <item x="7"/>
        <item x="321"/>
        <item x="112"/>
        <item x="217"/>
        <item x="8"/>
        <item x="322"/>
        <item x="113"/>
        <item x="218"/>
        <item x="9"/>
        <item x="323"/>
        <item x="114"/>
        <item x="219"/>
        <item x="10"/>
        <item x="324"/>
        <item x="115"/>
        <item x="220"/>
        <item x="11"/>
        <item x="325"/>
        <item x="116"/>
        <item x="221"/>
        <item x="12"/>
        <item x="326"/>
        <item x="117"/>
        <item x="222"/>
        <item x="13"/>
        <item x="327"/>
        <item x="118"/>
        <item x="223"/>
        <item x="14"/>
        <item x="328"/>
        <item x="119"/>
        <item x="224"/>
        <item x="15"/>
        <item x="329"/>
        <item x="120"/>
        <item x="225"/>
        <item x="16"/>
        <item x="330"/>
        <item x="121"/>
        <item x="226"/>
        <item x="17"/>
        <item x="331"/>
        <item x="122"/>
        <item x="227"/>
        <item x="18"/>
        <item x="332"/>
        <item x="123"/>
        <item x="228"/>
        <item x="19"/>
        <item x="333"/>
        <item x="124"/>
        <item x="229"/>
        <item x="20"/>
        <item x="334"/>
        <item x="125"/>
        <item x="230"/>
        <item x="21"/>
        <item x="335"/>
        <item x="126"/>
        <item x="231"/>
        <item x="22"/>
        <item x="336"/>
        <item x="127"/>
        <item x="232"/>
        <item x="23"/>
        <item x="337"/>
        <item x="128"/>
        <item x="233"/>
        <item x="24"/>
        <item x="338"/>
        <item x="129"/>
        <item x="234"/>
        <item x="25"/>
        <item x="339"/>
        <item x="130"/>
        <item x="235"/>
        <item x="26"/>
        <item x="340"/>
        <item x="131"/>
        <item x="236"/>
        <item x="27"/>
        <item x="341"/>
        <item x="132"/>
        <item x="237"/>
        <item x="28"/>
        <item x="342"/>
        <item x="133"/>
        <item x="238"/>
        <item x="29"/>
        <item x="343"/>
        <item x="134"/>
        <item x="239"/>
        <item x="30"/>
        <item x="344"/>
        <item x="135"/>
        <item x="240"/>
        <item x="31"/>
        <item x="345"/>
        <item x="136"/>
        <item x="241"/>
        <item x="32"/>
        <item x="346"/>
        <item x="137"/>
        <item x="242"/>
        <item x="33"/>
        <item x="347"/>
        <item x="138"/>
        <item x="243"/>
        <item x="34"/>
        <item x="348"/>
        <item x="139"/>
        <item x="244"/>
        <item x="35"/>
        <item x="349"/>
        <item x="140"/>
        <item x="245"/>
        <item x="36"/>
        <item x="141"/>
        <item x="246"/>
        <item x="37"/>
        <item x="142"/>
        <item x="247"/>
        <item x="38"/>
        <item x="143"/>
        <item x="248"/>
        <item x="39"/>
        <item x="144"/>
        <item x="249"/>
        <item x="40"/>
        <item x="145"/>
        <item x="250"/>
        <item x="41"/>
        <item x="146"/>
        <item x="251"/>
        <item x="42"/>
        <item x="147"/>
        <item x="252"/>
        <item x="43"/>
        <item x="148"/>
        <item x="253"/>
        <item x="44"/>
        <item x="149"/>
        <item x="254"/>
        <item x="45"/>
        <item x="150"/>
        <item x="255"/>
        <item x="46"/>
        <item x="151"/>
        <item x="256"/>
        <item x="47"/>
        <item x="152"/>
        <item x="257"/>
        <item x="48"/>
        <item x="153"/>
        <item x="258"/>
        <item x="49"/>
        <item x="154"/>
        <item x="259"/>
        <item x="50"/>
        <item x="155"/>
        <item x="260"/>
        <item x="51"/>
        <item x="156"/>
        <item x="261"/>
        <item x="52"/>
        <item x="157"/>
        <item x="262"/>
        <item x="53"/>
        <item x="158"/>
        <item x="263"/>
        <item x="54"/>
        <item x="159"/>
        <item x="264"/>
        <item x="55"/>
        <item x="160"/>
        <item x="265"/>
        <item x="56"/>
        <item x="161"/>
        <item x="266"/>
        <item x="57"/>
        <item x="162"/>
        <item x="267"/>
        <item x="58"/>
        <item x="163"/>
        <item x="268"/>
        <item x="59"/>
        <item x="164"/>
        <item x="269"/>
        <item x="60"/>
        <item x="165"/>
        <item x="270"/>
        <item x="61"/>
        <item x="166"/>
        <item x="271"/>
        <item x="62"/>
        <item x="167"/>
        <item x="272"/>
        <item x="63"/>
        <item x="168"/>
        <item x="273"/>
        <item x="64"/>
        <item x="169"/>
        <item x="274"/>
        <item x="65"/>
        <item x="170"/>
        <item x="275"/>
        <item x="66"/>
        <item x="171"/>
        <item x="276"/>
        <item x="67"/>
        <item x="172"/>
        <item x="277"/>
        <item x="68"/>
        <item x="173"/>
        <item x="278"/>
        <item x="69"/>
        <item x="174"/>
        <item x="279"/>
        <item x="70"/>
        <item x="175"/>
        <item x="280"/>
        <item x="71"/>
        <item x="176"/>
        <item x="281"/>
        <item x="72"/>
        <item x="177"/>
        <item x="282"/>
        <item x="73"/>
        <item x="178"/>
        <item x="283"/>
        <item x="74"/>
        <item x="179"/>
        <item x="284"/>
        <item x="75"/>
        <item x="180"/>
        <item x="285"/>
        <item x="76"/>
        <item x="181"/>
        <item x="286"/>
        <item x="77"/>
        <item x="182"/>
        <item x="287"/>
        <item x="78"/>
        <item x="183"/>
        <item x="288"/>
        <item x="79"/>
        <item x="184"/>
        <item x="289"/>
        <item x="80"/>
        <item x="185"/>
        <item x="290"/>
        <item x="81"/>
        <item x="186"/>
        <item x="291"/>
        <item x="82"/>
        <item x="187"/>
        <item x="292"/>
        <item x="83"/>
        <item x="188"/>
        <item x="293"/>
        <item x="84"/>
        <item x="189"/>
        <item x="294"/>
        <item x="85"/>
        <item x="190"/>
        <item x="295"/>
        <item x="86"/>
        <item x="191"/>
        <item x="296"/>
        <item x="87"/>
        <item x="192"/>
        <item x="297"/>
        <item x="88"/>
        <item x="193"/>
        <item x="298"/>
        <item x="89"/>
        <item x="194"/>
        <item x="299"/>
        <item x="90"/>
        <item x="195"/>
        <item x="300"/>
        <item x="91"/>
        <item x="196"/>
        <item x="301"/>
        <item x="92"/>
        <item x="197"/>
        <item x="302"/>
        <item x="93"/>
        <item x="198"/>
        <item x="303"/>
        <item x="94"/>
        <item x="199"/>
        <item x="304"/>
        <item x="95"/>
        <item x="200"/>
        <item x="305"/>
        <item x="96"/>
        <item x="201"/>
        <item x="306"/>
        <item x="97"/>
        <item x="202"/>
        <item x="307"/>
        <item x="98"/>
        <item x="203"/>
        <item x="308"/>
        <item x="99"/>
        <item x="204"/>
        <item x="309"/>
        <item x="100"/>
        <item x="205"/>
        <item x="310"/>
        <item x="101"/>
        <item x="206"/>
        <item x="311"/>
        <item x="102"/>
        <item x="207"/>
        <item x="312"/>
        <item x="103"/>
        <item x="208"/>
        <item t="default"/>
      </items>
    </pivotField>
    <pivotField showAll="0"/>
    <pivotField showAll="0"/>
    <pivotField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8">
    <i>
      <x/>
    </i>
    <i>
      <x v="1"/>
    </i>
    <i>
      <x v="2"/>
    </i>
    <i>
      <x v="3"/>
    </i>
    <i>
      <x v="4"/>
    </i>
    <i>
      <x v="5"/>
    </i>
    <i>
      <x v="6"/>
    </i>
    <i t="grand">
      <x/>
    </i>
  </rowItems>
  <colItems count="1">
    <i/>
  </colItems>
  <dataFields count="1">
    <dataField name="Sum of Loan_Amount_LKR" fld="5" baseField="0" baseItem="0" numFmtId="3"/>
  </dataFields>
  <formats count="12">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FEFB98-9C1D-4BDD-A83D-EB5522BB361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28:D34" firstHeaderRow="1" firstDataRow="2" firstDataCol="1"/>
  <pivotFields count="11">
    <pivotField showAll="0"/>
    <pivotField showAll="0"/>
    <pivotField showAll="0"/>
    <pivotField axis="axisRow" showAll="0">
      <items count="6">
        <item x="3"/>
        <item x="1"/>
        <item x="2"/>
        <item x="4"/>
        <item x="0"/>
        <item t="default"/>
      </items>
    </pivotField>
    <pivotField dataField="1" numFmtId="3" showAll="0"/>
    <pivotField numFmtId="164" showAll="0"/>
    <pivotField showAll="0"/>
    <pivotField showAll="0"/>
    <pivotField axis="axisCol" showAll="0">
      <items count="4">
        <item x="1"/>
        <item x="2"/>
        <item x="0"/>
        <item t="default"/>
      </items>
    </pivotField>
    <pivotField showAll="0"/>
    <pivotField numFmtId="3" showAll="0"/>
  </pivotFields>
  <rowFields count="1">
    <field x="3"/>
  </rowFields>
  <rowItems count="5">
    <i>
      <x/>
    </i>
    <i>
      <x v="1"/>
    </i>
    <i>
      <x v="2"/>
    </i>
    <i>
      <x v="3"/>
    </i>
    <i>
      <x v="4"/>
    </i>
  </rowItems>
  <colFields count="1">
    <field x="8"/>
  </colFields>
  <colItems count="3">
    <i>
      <x/>
    </i>
    <i>
      <x v="1"/>
    </i>
    <i>
      <x v="2"/>
    </i>
  </colItems>
  <dataFields count="1">
    <dataField name="Sum of Loan_Amount_LKR" fld="4" showDataAs="percentOfRow" baseField="0" baseItem="0" numFmtId="10"/>
  </dataFields>
  <formats count="9">
    <format dxfId="20">
      <pivotArea type="all" dataOnly="0" outline="0" fieldPosition="0"/>
    </format>
    <format dxfId="19">
      <pivotArea outline="0" collapsedLevelsAreSubtotals="1" fieldPosition="0"/>
    </format>
    <format dxfId="18">
      <pivotArea type="origin" dataOnly="0" labelOnly="1" outline="0" fieldPosition="0"/>
    </format>
    <format dxfId="17">
      <pivotArea field="8" type="button" dataOnly="0" labelOnly="1" outline="0" axis="axisCol" fieldPosition="0"/>
    </format>
    <format dxfId="16">
      <pivotArea type="topRight" dataOnly="0" labelOnly="1" outline="0"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fieldPosition="0">
        <references count="1">
          <reference field="8" count="0"/>
        </references>
      </pivotArea>
    </format>
    <format dxfId="12">
      <pivotArea collapsedLevelsAreSubtotals="1" fieldPosition="0">
        <references count="2">
          <reference field="3" count="1">
            <x v="0"/>
          </reference>
          <reference field="8" count="1" selected="0">
            <x v="2"/>
          </reference>
        </references>
      </pivotArea>
    </format>
  </formats>
  <chartFormats count="3">
    <chartFormat chart="2" format="3" series="1">
      <pivotArea type="data" outline="0" fieldPosition="0">
        <references count="2">
          <reference field="4294967294" count="1" selected="0">
            <x v="0"/>
          </reference>
          <reference field="8" count="1" selected="0">
            <x v="0"/>
          </reference>
        </references>
      </pivotArea>
    </chartFormat>
    <chartFormat chart="2" format="4" series="1">
      <pivotArea type="data" outline="0" fieldPosition="0">
        <references count="2">
          <reference field="4294967294" count="1" selected="0">
            <x v="0"/>
          </reference>
          <reference field="8" count="1" selected="0">
            <x v="1"/>
          </reference>
        </references>
      </pivotArea>
    </chartFormat>
    <chartFormat chart="2" format="5"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B02938-C03B-4A57-93E7-34D6BCAD974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H11" firstHeaderRow="1" firstDataRow="2" firstDataCol="1"/>
  <pivotFields count="14">
    <pivotField dataField="1" showAll="0"/>
    <pivotField showAll="0"/>
    <pivotField showAll="0"/>
    <pivotField axis="axisRow" showAll="0">
      <items count="8">
        <item x="6"/>
        <item x="2"/>
        <item x="1"/>
        <item x="4"/>
        <item x="5"/>
        <item x="3"/>
        <item x="0"/>
        <item t="default"/>
      </items>
    </pivotField>
    <pivotField showAll="0"/>
    <pivotField numFmtId="3" showAll="0"/>
    <pivotField numFmtId="164" showAll="0"/>
    <pivotField showAll="0">
      <items count="351">
        <item x="313"/>
        <item x="104"/>
        <item x="209"/>
        <item x="0"/>
        <item x="314"/>
        <item x="105"/>
        <item x="210"/>
        <item x="1"/>
        <item x="315"/>
        <item x="106"/>
        <item x="211"/>
        <item x="2"/>
        <item x="316"/>
        <item x="107"/>
        <item x="212"/>
        <item x="3"/>
        <item x="317"/>
        <item x="108"/>
        <item x="213"/>
        <item x="4"/>
        <item x="318"/>
        <item x="109"/>
        <item x="214"/>
        <item x="5"/>
        <item x="319"/>
        <item x="110"/>
        <item x="215"/>
        <item x="6"/>
        <item x="320"/>
        <item x="111"/>
        <item x="216"/>
        <item x="7"/>
        <item x="321"/>
        <item x="112"/>
        <item x="217"/>
        <item x="8"/>
        <item x="322"/>
        <item x="113"/>
        <item x="218"/>
        <item x="9"/>
        <item x="323"/>
        <item x="114"/>
        <item x="219"/>
        <item x="10"/>
        <item x="324"/>
        <item x="115"/>
        <item x="220"/>
        <item x="11"/>
        <item x="325"/>
        <item x="116"/>
        <item x="221"/>
        <item x="12"/>
        <item x="326"/>
        <item x="117"/>
        <item x="222"/>
        <item x="13"/>
        <item x="327"/>
        <item x="118"/>
        <item x="223"/>
        <item x="14"/>
        <item x="328"/>
        <item x="119"/>
        <item x="224"/>
        <item x="15"/>
        <item x="329"/>
        <item x="120"/>
        <item x="225"/>
        <item x="16"/>
        <item x="330"/>
        <item x="121"/>
        <item x="226"/>
        <item x="17"/>
        <item x="331"/>
        <item x="122"/>
        <item x="227"/>
        <item x="18"/>
        <item x="332"/>
        <item x="123"/>
        <item x="228"/>
        <item x="19"/>
        <item x="333"/>
        <item x="124"/>
        <item x="229"/>
        <item x="20"/>
        <item x="334"/>
        <item x="125"/>
        <item x="230"/>
        <item x="21"/>
        <item x="335"/>
        <item x="126"/>
        <item x="231"/>
        <item x="22"/>
        <item x="336"/>
        <item x="127"/>
        <item x="232"/>
        <item x="23"/>
        <item x="337"/>
        <item x="128"/>
        <item x="233"/>
        <item x="24"/>
        <item x="338"/>
        <item x="129"/>
        <item x="234"/>
        <item x="25"/>
        <item x="339"/>
        <item x="130"/>
        <item x="235"/>
        <item x="26"/>
        <item x="340"/>
        <item x="131"/>
        <item x="236"/>
        <item x="27"/>
        <item x="341"/>
        <item x="132"/>
        <item x="237"/>
        <item x="28"/>
        <item x="342"/>
        <item x="133"/>
        <item x="238"/>
        <item x="29"/>
        <item x="343"/>
        <item x="134"/>
        <item x="239"/>
        <item x="30"/>
        <item x="344"/>
        <item x="135"/>
        <item x="240"/>
        <item x="31"/>
        <item x="345"/>
        <item x="136"/>
        <item x="241"/>
        <item x="32"/>
        <item x="346"/>
        <item x="137"/>
        <item x="242"/>
        <item x="33"/>
        <item x="347"/>
        <item x="138"/>
        <item x="243"/>
        <item x="34"/>
        <item x="348"/>
        <item x="139"/>
        <item x="244"/>
        <item x="35"/>
        <item x="349"/>
        <item x="140"/>
        <item x="245"/>
        <item x="36"/>
        <item x="141"/>
        <item x="246"/>
        <item x="37"/>
        <item x="142"/>
        <item x="247"/>
        <item x="38"/>
        <item x="143"/>
        <item x="248"/>
        <item x="39"/>
        <item x="144"/>
        <item x="249"/>
        <item x="40"/>
        <item x="145"/>
        <item x="250"/>
        <item x="41"/>
        <item x="146"/>
        <item x="251"/>
        <item x="42"/>
        <item x="147"/>
        <item x="252"/>
        <item x="43"/>
        <item x="148"/>
        <item x="253"/>
        <item x="44"/>
        <item x="149"/>
        <item x="254"/>
        <item x="45"/>
        <item x="150"/>
        <item x="255"/>
        <item x="46"/>
        <item x="151"/>
        <item x="256"/>
        <item x="47"/>
        <item x="152"/>
        <item x="257"/>
        <item x="48"/>
        <item x="153"/>
        <item x="258"/>
        <item x="49"/>
        <item x="154"/>
        <item x="259"/>
        <item x="50"/>
        <item x="155"/>
        <item x="260"/>
        <item x="51"/>
        <item x="156"/>
        <item x="261"/>
        <item x="52"/>
        <item x="157"/>
        <item x="262"/>
        <item x="53"/>
        <item x="158"/>
        <item x="263"/>
        <item x="54"/>
        <item x="159"/>
        <item x="264"/>
        <item x="55"/>
        <item x="160"/>
        <item x="265"/>
        <item x="56"/>
        <item x="161"/>
        <item x="266"/>
        <item x="57"/>
        <item x="162"/>
        <item x="267"/>
        <item x="58"/>
        <item x="163"/>
        <item x="268"/>
        <item x="59"/>
        <item x="164"/>
        <item x="269"/>
        <item x="60"/>
        <item x="165"/>
        <item x="270"/>
        <item x="61"/>
        <item x="166"/>
        <item x="271"/>
        <item x="62"/>
        <item x="167"/>
        <item x="272"/>
        <item x="63"/>
        <item x="168"/>
        <item x="273"/>
        <item x="64"/>
        <item x="169"/>
        <item x="274"/>
        <item x="65"/>
        <item x="170"/>
        <item x="275"/>
        <item x="66"/>
        <item x="171"/>
        <item x="276"/>
        <item x="67"/>
        <item x="172"/>
        <item x="277"/>
        <item x="68"/>
        <item x="173"/>
        <item x="278"/>
        <item x="69"/>
        <item x="174"/>
        <item x="279"/>
        <item x="70"/>
        <item x="175"/>
        <item x="280"/>
        <item x="71"/>
        <item x="176"/>
        <item x="281"/>
        <item x="72"/>
        <item x="177"/>
        <item x="282"/>
        <item x="73"/>
        <item x="178"/>
        <item x="283"/>
        <item x="74"/>
        <item x="179"/>
        <item x="284"/>
        <item x="75"/>
        <item x="180"/>
        <item x="285"/>
        <item x="76"/>
        <item x="181"/>
        <item x="286"/>
        <item x="77"/>
        <item x="182"/>
        <item x="287"/>
        <item x="78"/>
        <item x="183"/>
        <item x="288"/>
        <item x="79"/>
        <item x="184"/>
        <item x="289"/>
        <item x="80"/>
        <item x="185"/>
        <item x="290"/>
        <item x="81"/>
        <item x="186"/>
        <item x="291"/>
        <item x="82"/>
        <item x="187"/>
        <item x="292"/>
        <item x="83"/>
        <item x="188"/>
        <item x="293"/>
        <item x="84"/>
        <item x="189"/>
        <item x="294"/>
        <item x="85"/>
        <item x="190"/>
        <item x="295"/>
        <item x="86"/>
        <item x="191"/>
        <item x="296"/>
        <item x="87"/>
        <item x="192"/>
        <item x="297"/>
        <item x="88"/>
        <item x="193"/>
        <item x="298"/>
        <item x="89"/>
        <item x="194"/>
        <item x="299"/>
        <item x="90"/>
        <item x="195"/>
        <item x="300"/>
        <item x="91"/>
        <item x="196"/>
        <item x="301"/>
        <item x="92"/>
        <item x="197"/>
        <item x="302"/>
        <item x="93"/>
        <item x="198"/>
        <item x="303"/>
        <item x="94"/>
        <item x="199"/>
        <item x="304"/>
        <item x="95"/>
        <item x="200"/>
        <item x="305"/>
        <item x="96"/>
        <item x="201"/>
        <item x="306"/>
        <item x="97"/>
        <item x="202"/>
        <item x="307"/>
        <item x="98"/>
        <item x="203"/>
        <item x="308"/>
        <item x="99"/>
        <item x="204"/>
        <item x="309"/>
        <item x="100"/>
        <item x="205"/>
        <item x="310"/>
        <item x="101"/>
        <item x="206"/>
        <item x="311"/>
        <item x="102"/>
        <item x="207"/>
        <item x="312"/>
        <item x="103"/>
        <item x="208"/>
        <item t="default"/>
      </items>
    </pivotField>
    <pivotField axis="axisCol" showAll="0">
      <items count="4">
        <item x="1"/>
        <item x="0"/>
        <item x="2"/>
        <item t="default"/>
      </items>
    </pivotField>
    <pivotField showAll="0">
      <items count="4">
        <item x="1"/>
        <item x="2"/>
        <item x="0"/>
        <item t="default"/>
      </items>
    </pivotField>
    <pivotField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8">
    <i>
      <x/>
    </i>
    <i>
      <x v="1"/>
    </i>
    <i>
      <x v="2"/>
    </i>
    <i>
      <x v="3"/>
    </i>
    <i>
      <x v="4"/>
    </i>
    <i>
      <x v="5"/>
    </i>
    <i>
      <x v="6"/>
    </i>
    <i t="grand">
      <x/>
    </i>
  </rowItems>
  <colFields count="1">
    <field x="8"/>
  </colFields>
  <colItems count="4">
    <i>
      <x/>
    </i>
    <i>
      <x v="1"/>
    </i>
    <i>
      <x v="2"/>
    </i>
    <i t="grand">
      <x/>
    </i>
  </colItems>
  <dataFields count="1">
    <dataField name="Count of Loan_ID" fld="0" subtotal="count" baseField="3" baseItem="2"/>
  </dataFields>
  <formats count="9">
    <format dxfId="29">
      <pivotArea type="all" dataOnly="0" outline="0" fieldPosition="0"/>
    </format>
    <format dxfId="28">
      <pivotArea outline="0" collapsedLevelsAreSubtotals="1" fieldPosition="0"/>
    </format>
    <format dxfId="27">
      <pivotArea type="origin" dataOnly="0" labelOnly="1" outline="0" fieldPosition="0"/>
    </format>
    <format dxfId="26">
      <pivotArea field="3" type="button" dataOnly="0" labelOnly="1" outline="0" axis="axisRow" fieldPosition="0"/>
    </format>
    <format dxfId="25">
      <pivotArea type="topRight" dataOnly="0" labelOnly="1" outline="0" fieldPosition="0"/>
    </format>
    <format dxfId="24">
      <pivotArea field="8" type="button" dataOnly="0" labelOnly="1" outline="0" axis="axisCol" fieldPosition="0"/>
    </format>
    <format dxfId="23">
      <pivotArea dataOnly="0" labelOnly="1" fieldPosition="0">
        <references count="1">
          <reference field="8" count="0"/>
        </references>
      </pivotArea>
    </format>
    <format dxfId="22">
      <pivotArea dataOnly="0" labelOnly="1" grandRow="1" outline="0" fieldPosition="0"/>
    </format>
    <format dxfId="21">
      <pivotArea dataOnly="0" labelOnly="1" grandCol="1" outline="0" fieldPosition="0"/>
    </format>
  </formats>
  <chartFormats count="3">
    <chartFormat chart="2" format="3" series="1">
      <pivotArea type="data" outline="0" fieldPosition="0">
        <references count="2">
          <reference field="4294967294" count="1" selected="0">
            <x v="0"/>
          </reference>
          <reference field="8" count="1" selected="0">
            <x v="0"/>
          </reference>
        </references>
      </pivotArea>
    </chartFormat>
    <chartFormat chart="2" format="4" series="1">
      <pivotArea type="data" outline="0" fieldPosition="0">
        <references count="2">
          <reference field="4294967294" count="1" selected="0">
            <x v="0"/>
          </reference>
          <reference field="8" count="1" selected="0">
            <x v="1"/>
          </reference>
        </references>
      </pivotArea>
    </chartFormat>
    <chartFormat chart="2" format="5"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890ACE-D395-4644-A35E-368ABFD34FDC}"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N23" firstHeaderRow="1" firstDataRow="2" firstDataCol="1"/>
  <pivotFields count="14">
    <pivotField dataField="1" showAll="0"/>
    <pivotField showAll="0"/>
    <pivotField showAll="0"/>
    <pivotField showAll="0"/>
    <pivotField showAll="0"/>
    <pivotField numFmtId="3" showAll="0"/>
    <pivotField numFmtId="164" showAll="0"/>
    <pivotField showAll="0">
      <items count="351">
        <item x="313"/>
        <item x="104"/>
        <item x="209"/>
        <item x="0"/>
        <item x="314"/>
        <item x="105"/>
        <item x="210"/>
        <item x="1"/>
        <item x="315"/>
        <item x="106"/>
        <item x="211"/>
        <item x="2"/>
        <item x="316"/>
        <item x="107"/>
        <item x="212"/>
        <item x="3"/>
        <item x="317"/>
        <item x="108"/>
        <item x="213"/>
        <item x="4"/>
        <item x="318"/>
        <item x="109"/>
        <item x="214"/>
        <item x="5"/>
        <item x="319"/>
        <item x="110"/>
        <item x="215"/>
        <item x="6"/>
        <item x="320"/>
        <item x="111"/>
        <item x="216"/>
        <item x="7"/>
        <item x="321"/>
        <item x="112"/>
        <item x="217"/>
        <item x="8"/>
        <item x="322"/>
        <item x="113"/>
        <item x="218"/>
        <item x="9"/>
        <item x="323"/>
        <item x="114"/>
        <item x="219"/>
        <item x="10"/>
        <item x="324"/>
        <item x="115"/>
        <item x="220"/>
        <item x="11"/>
        <item x="325"/>
        <item x="116"/>
        <item x="221"/>
        <item x="12"/>
        <item x="326"/>
        <item x="117"/>
        <item x="222"/>
        <item x="13"/>
        <item x="327"/>
        <item x="118"/>
        <item x="223"/>
        <item x="14"/>
        <item x="328"/>
        <item x="119"/>
        <item x="224"/>
        <item x="15"/>
        <item x="329"/>
        <item x="120"/>
        <item x="225"/>
        <item x="16"/>
        <item x="330"/>
        <item x="121"/>
        <item x="226"/>
        <item x="17"/>
        <item x="331"/>
        <item x="122"/>
        <item x="227"/>
        <item x="18"/>
        <item x="332"/>
        <item x="123"/>
        <item x="228"/>
        <item x="19"/>
        <item x="333"/>
        <item x="124"/>
        <item x="229"/>
        <item x="20"/>
        <item x="334"/>
        <item x="125"/>
        <item x="230"/>
        <item x="21"/>
        <item x="335"/>
        <item x="126"/>
        <item x="231"/>
        <item x="22"/>
        <item x="336"/>
        <item x="127"/>
        <item x="232"/>
        <item x="23"/>
        <item x="337"/>
        <item x="128"/>
        <item x="233"/>
        <item x="24"/>
        <item x="338"/>
        <item x="129"/>
        <item x="234"/>
        <item x="25"/>
        <item x="339"/>
        <item x="130"/>
        <item x="235"/>
        <item x="26"/>
        <item x="340"/>
        <item x="131"/>
        <item x="236"/>
        <item x="27"/>
        <item x="341"/>
        <item x="132"/>
        <item x="237"/>
        <item x="28"/>
        <item x="342"/>
        <item x="133"/>
        <item x="238"/>
        <item x="29"/>
        <item x="343"/>
        <item x="134"/>
        <item x="239"/>
        <item x="30"/>
        <item x="344"/>
        <item x="135"/>
        <item x="240"/>
        <item x="31"/>
        <item x="345"/>
        <item x="136"/>
        <item x="241"/>
        <item x="32"/>
        <item x="346"/>
        <item x="137"/>
        <item x="242"/>
        <item x="33"/>
        <item x="347"/>
        <item x="138"/>
        <item x="243"/>
        <item x="34"/>
        <item x="348"/>
        <item x="139"/>
        <item x="244"/>
        <item x="35"/>
        <item x="349"/>
        <item x="140"/>
        <item x="245"/>
        <item x="36"/>
        <item x="141"/>
        <item x="246"/>
        <item x="37"/>
        <item x="142"/>
        <item x="247"/>
        <item x="38"/>
        <item x="143"/>
        <item x="248"/>
        <item x="39"/>
        <item x="144"/>
        <item x="249"/>
        <item x="40"/>
        <item x="145"/>
        <item x="250"/>
        <item x="41"/>
        <item x="146"/>
        <item x="251"/>
        <item x="42"/>
        <item x="147"/>
        <item x="252"/>
        <item x="43"/>
        <item x="148"/>
        <item x="253"/>
        <item x="44"/>
        <item x="149"/>
        <item x="254"/>
        <item x="45"/>
        <item x="150"/>
        <item x="255"/>
        <item x="46"/>
        <item x="151"/>
        <item x="256"/>
        <item x="47"/>
        <item x="152"/>
        <item x="257"/>
        <item x="48"/>
        <item x="153"/>
        <item x="258"/>
        <item x="49"/>
        <item x="154"/>
        <item x="259"/>
        <item x="50"/>
        <item x="155"/>
        <item x="260"/>
        <item x="51"/>
        <item x="156"/>
        <item x="261"/>
        <item x="52"/>
        <item x="157"/>
        <item x="262"/>
        <item x="53"/>
        <item x="158"/>
        <item x="263"/>
        <item x="54"/>
        <item x="159"/>
        <item x="264"/>
        <item x="55"/>
        <item x="160"/>
        <item x="265"/>
        <item x="56"/>
        <item x="161"/>
        <item x="266"/>
        <item x="57"/>
        <item x="162"/>
        <item x="267"/>
        <item x="58"/>
        <item x="163"/>
        <item x="268"/>
        <item x="59"/>
        <item x="164"/>
        <item x="269"/>
        <item x="60"/>
        <item x="165"/>
        <item x="270"/>
        <item x="61"/>
        <item x="166"/>
        <item x="271"/>
        <item x="62"/>
        <item x="167"/>
        <item x="272"/>
        <item x="63"/>
        <item x="168"/>
        <item x="273"/>
        <item x="64"/>
        <item x="169"/>
        <item x="274"/>
        <item x="65"/>
        <item x="170"/>
        <item x="275"/>
        <item x="66"/>
        <item x="171"/>
        <item x="276"/>
        <item x="67"/>
        <item x="172"/>
        <item x="277"/>
        <item x="68"/>
        <item x="173"/>
        <item x="278"/>
        <item x="69"/>
        <item x="174"/>
        <item x="279"/>
        <item x="70"/>
        <item x="175"/>
        <item x="280"/>
        <item x="71"/>
        <item x="176"/>
        <item x="281"/>
        <item x="72"/>
        <item x="177"/>
        <item x="282"/>
        <item x="73"/>
        <item x="178"/>
        <item x="283"/>
        <item x="74"/>
        <item x="179"/>
        <item x="284"/>
        <item x="75"/>
        <item x="180"/>
        <item x="285"/>
        <item x="76"/>
        <item x="181"/>
        <item x="286"/>
        <item x="77"/>
        <item x="182"/>
        <item x="287"/>
        <item x="78"/>
        <item x="183"/>
        <item x="288"/>
        <item x="79"/>
        <item x="184"/>
        <item x="289"/>
        <item x="80"/>
        <item x="185"/>
        <item x="290"/>
        <item x="81"/>
        <item x="186"/>
        <item x="291"/>
        <item x="82"/>
        <item x="187"/>
        <item x="292"/>
        <item x="83"/>
        <item x="188"/>
        <item x="293"/>
        <item x="84"/>
        <item x="189"/>
        <item x="294"/>
        <item x="85"/>
        <item x="190"/>
        <item x="295"/>
        <item x="86"/>
        <item x="191"/>
        <item x="296"/>
        <item x="87"/>
        <item x="192"/>
        <item x="297"/>
        <item x="88"/>
        <item x="193"/>
        <item x="298"/>
        <item x="89"/>
        <item x="194"/>
        <item x="299"/>
        <item x="90"/>
        <item x="195"/>
        <item x="300"/>
        <item x="91"/>
        <item x="196"/>
        <item x="301"/>
        <item x="92"/>
        <item x="197"/>
        <item x="302"/>
        <item x="93"/>
        <item x="198"/>
        <item x="303"/>
        <item x="94"/>
        <item x="199"/>
        <item x="304"/>
        <item x="95"/>
        <item x="200"/>
        <item x="305"/>
        <item x="96"/>
        <item x="201"/>
        <item x="306"/>
        <item x="97"/>
        <item x="202"/>
        <item x="307"/>
        <item x="98"/>
        <item x="203"/>
        <item x="308"/>
        <item x="99"/>
        <item x="204"/>
        <item x="309"/>
        <item x="100"/>
        <item x="205"/>
        <item x="310"/>
        <item x="101"/>
        <item x="206"/>
        <item x="311"/>
        <item x="102"/>
        <item x="207"/>
        <item x="312"/>
        <item x="103"/>
        <item x="208"/>
        <item t="default"/>
      </items>
    </pivotField>
    <pivotField axis="axisCol" showAll="0">
      <items count="4">
        <item x="1"/>
        <item x="0"/>
        <item x="2"/>
        <item t="default"/>
      </items>
    </pivotField>
    <pivotField showAll="0"/>
    <pivotField axis="axisRow" showAll="0">
      <items count="7">
        <item x="2"/>
        <item x="0"/>
        <item x="5"/>
        <item x="4"/>
        <item x="1"/>
        <item x="3"/>
        <item t="default"/>
      </items>
    </pivotField>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7">
    <i>
      <x/>
    </i>
    <i>
      <x v="1"/>
    </i>
    <i>
      <x v="2"/>
    </i>
    <i>
      <x v="3"/>
    </i>
    <i>
      <x v="4"/>
    </i>
    <i>
      <x v="5"/>
    </i>
    <i t="grand">
      <x/>
    </i>
  </rowItems>
  <colFields count="1">
    <field x="8"/>
  </colFields>
  <colItems count="4">
    <i>
      <x/>
    </i>
    <i>
      <x v="1"/>
    </i>
    <i>
      <x v="2"/>
    </i>
    <i t="grand">
      <x/>
    </i>
  </colItems>
  <dataFields count="1">
    <dataField name="Count of Loan_ID" fld="0" subtotal="count" baseField="0" baseItem="0"/>
  </dataFields>
  <formats count="3">
    <format dxfId="32">
      <pivotArea dataOnly="0" labelOnly="1" fieldPosition="0">
        <references count="1">
          <reference field="8" count="1">
            <x v="0"/>
          </reference>
        </references>
      </pivotArea>
    </format>
    <format dxfId="31">
      <pivotArea type="all" dataOnly="0" outline="0" fieldPosition="0"/>
    </format>
    <format dxfId="3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A35834-8CC5-42C8-98E3-C5A8BA787D5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4:O12" firstHeaderRow="1" firstDataRow="1" firstDataCol="1" rowPageCount="1" colPageCount="1"/>
  <pivotFields count="14">
    <pivotField showAll="0"/>
    <pivotField showAll="0"/>
    <pivotField showAll="0"/>
    <pivotField axis="axisRow" showAll="0" sortType="descending">
      <items count="8">
        <item x="0"/>
        <item x="3"/>
        <item x="5"/>
        <item x="4"/>
        <item x="1"/>
        <item x="2"/>
        <item x="6"/>
        <item t="default"/>
      </items>
      <autoSortScope>
        <pivotArea dataOnly="0" outline="0" fieldPosition="0">
          <references count="1">
            <reference field="4294967294" count="1" selected="0">
              <x v="0"/>
            </reference>
          </references>
        </pivotArea>
      </autoSortScope>
    </pivotField>
    <pivotField showAll="0"/>
    <pivotField dataField="1" numFmtId="3" showAll="0"/>
    <pivotField numFmtId="164" showAll="0"/>
    <pivotField showAll="0">
      <items count="351">
        <item x="313"/>
        <item x="104"/>
        <item x="209"/>
        <item x="0"/>
        <item x="314"/>
        <item x="105"/>
        <item x="210"/>
        <item x="1"/>
        <item x="315"/>
        <item x="106"/>
        <item x="211"/>
        <item x="2"/>
        <item x="316"/>
        <item x="107"/>
        <item x="212"/>
        <item x="3"/>
        <item x="317"/>
        <item x="108"/>
        <item x="213"/>
        <item x="4"/>
        <item x="318"/>
        <item x="109"/>
        <item x="214"/>
        <item x="5"/>
        <item x="319"/>
        <item x="110"/>
        <item x="215"/>
        <item x="6"/>
        <item x="320"/>
        <item x="111"/>
        <item x="216"/>
        <item x="7"/>
        <item x="321"/>
        <item x="112"/>
        <item x="217"/>
        <item x="8"/>
        <item x="322"/>
        <item x="113"/>
        <item x="218"/>
        <item x="9"/>
        <item x="323"/>
        <item x="114"/>
        <item x="219"/>
        <item x="10"/>
        <item x="324"/>
        <item x="115"/>
        <item x="220"/>
        <item x="11"/>
        <item x="325"/>
        <item x="116"/>
        <item x="221"/>
        <item x="12"/>
        <item x="326"/>
        <item x="117"/>
        <item x="222"/>
        <item x="13"/>
        <item x="327"/>
        <item x="118"/>
        <item x="223"/>
        <item x="14"/>
        <item x="328"/>
        <item x="119"/>
        <item x="224"/>
        <item x="15"/>
        <item x="329"/>
        <item x="120"/>
        <item x="225"/>
        <item x="16"/>
        <item x="330"/>
        <item x="121"/>
        <item x="226"/>
        <item x="17"/>
        <item x="331"/>
        <item x="122"/>
        <item x="227"/>
        <item x="18"/>
        <item x="332"/>
        <item x="123"/>
        <item x="228"/>
        <item x="19"/>
        <item x="333"/>
        <item x="124"/>
        <item x="229"/>
        <item x="20"/>
        <item x="334"/>
        <item x="125"/>
        <item x="230"/>
        <item x="21"/>
        <item x="335"/>
        <item x="126"/>
        <item x="231"/>
        <item x="22"/>
        <item x="336"/>
        <item x="127"/>
        <item x="232"/>
        <item x="23"/>
        <item x="337"/>
        <item x="128"/>
        <item x="233"/>
        <item x="24"/>
        <item x="338"/>
        <item x="129"/>
        <item x="234"/>
        <item x="25"/>
        <item x="339"/>
        <item x="130"/>
        <item x="235"/>
        <item x="26"/>
        <item x="340"/>
        <item x="131"/>
        <item x="236"/>
        <item x="27"/>
        <item x="341"/>
        <item x="132"/>
        <item x="237"/>
        <item x="28"/>
        <item x="342"/>
        <item x="133"/>
        <item x="238"/>
        <item x="29"/>
        <item x="343"/>
        <item x="134"/>
        <item x="239"/>
        <item x="30"/>
        <item x="344"/>
        <item x="135"/>
        <item x="240"/>
        <item x="31"/>
        <item x="345"/>
        <item x="136"/>
        <item x="241"/>
        <item x="32"/>
        <item x="346"/>
        <item x="137"/>
        <item x="242"/>
        <item x="33"/>
        <item x="347"/>
        <item x="138"/>
        <item x="243"/>
        <item x="34"/>
        <item x="348"/>
        <item x="139"/>
        <item x="244"/>
        <item x="35"/>
        <item x="349"/>
        <item x="140"/>
        <item x="245"/>
        <item x="36"/>
        <item x="141"/>
        <item x="246"/>
        <item x="37"/>
        <item x="142"/>
        <item x="247"/>
        <item x="38"/>
        <item x="143"/>
        <item x="248"/>
        <item x="39"/>
        <item x="144"/>
        <item x="249"/>
        <item x="40"/>
        <item x="145"/>
        <item x="250"/>
        <item x="41"/>
        <item x="146"/>
        <item x="251"/>
        <item x="42"/>
        <item x="147"/>
        <item x="252"/>
        <item x="43"/>
        <item x="148"/>
        <item x="253"/>
        <item x="44"/>
        <item x="149"/>
        <item x="254"/>
        <item x="45"/>
        <item x="150"/>
        <item x="255"/>
        <item x="46"/>
        <item x="151"/>
        <item x="256"/>
        <item x="47"/>
        <item x="152"/>
        <item x="257"/>
        <item x="48"/>
        <item x="153"/>
        <item x="258"/>
        <item x="49"/>
        <item x="154"/>
        <item x="259"/>
        <item x="50"/>
        <item x="155"/>
        <item x="260"/>
        <item x="51"/>
        <item x="156"/>
        <item x="261"/>
        <item x="52"/>
        <item x="157"/>
        <item x="262"/>
        <item x="53"/>
        <item x="158"/>
        <item x="263"/>
        <item x="54"/>
        <item x="159"/>
        <item x="264"/>
        <item x="55"/>
        <item x="160"/>
        <item x="265"/>
        <item x="56"/>
        <item x="161"/>
        <item x="266"/>
        <item x="57"/>
        <item x="162"/>
        <item x="267"/>
        <item x="58"/>
        <item x="163"/>
        <item x="268"/>
        <item x="59"/>
        <item x="164"/>
        <item x="269"/>
        <item x="60"/>
        <item x="165"/>
        <item x="270"/>
        <item x="61"/>
        <item x="166"/>
        <item x="271"/>
        <item x="62"/>
        <item x="167"/>
        <item x="272"/>
        <item x="63"/>
        <item x="168"/>
        <item x="273"/>
        <item x="64"/>
        <item x="169"/>
        <item x="274"/>
        <item x="65"/>
        <item x="170"/>
        <item x="275"/>
        <item x="66"/>
        <item x="171"/>
        <item x="276"/>
        <item x="67"/>
        <item x="172"/>
        <item x="277"/>
        <item x="68"/>
        <item x="173"/>
        <item x="278"/>
        <item x="69"/>
        <item x="174"/>
        <item x="279"/>
        <item x="70"/>
        <item x="175"/>
        <item x="280"/>
        <item x="71"/>
        <item x="176"/>
        <item x="281"/>
        <item x="72"/>
        <item x="177"/>
        <item x="282"/>
        <item x="73"/>
        <item x="178"/>
        <item x="283"/>
        <item x="74"/>
        <item x="179"/>
        <item x="284"/>
        <item x="75"/>
        <item x="180"/>
        <item x="285"/>
        <item x="76"/>
        <item x="181"/>
        <item x="286"/>
        <item x="77"/>
        <item x="182"/>
        <item x="287"/>
        <item x="78"/>
        <item x="183"/>
        <item x="288"/>
        <item x="79"/>
        <item x="184"/>
        <item x="289"/>
        <item x="80"/>
        <item x="185"/>
        <item x="290"/>
        <item x="81"/>
        <item x="186"/>
        <item x="291"/>
        <item x="82"/>
        <item x="187"/>
        <item x="292"/>
        <item x="83"/>
        <item x="188"/>
        <item x="293"/>
        <item x="84"/>
        <item x="189"/>
        <item x="294"/>
        <item x="85"/>
        <item x="190"/>
        <item x="295"/>
        <item x="86"/>
        <item x="191"/>
        <item x="296"/>
        <item x="87"/>
        <item x="192"/>
        <item x="297"/>
        <item x="88"/>
        <item x="193"/>
        <item x="298"/>
        <item x="89"/>
        <item x="194"/>
        <item x="299"/>
        <item x="90"/>
        <item x="195"/>
        <item x="300"/>
        <item x="91"/>
        <item x="196"/>
        <item x="301"/>
        <item x="92"/>
        <item x="197"/>
        <item x="302"/>
        <item x="93"/>
        <item x="198"/>
        <item x="303"/>
        <item x="94"/>
        <item x="199"/>
        <item x="304"/>
        <item x="95"/>
        <item x="200"/>
        <item x="305"/>
        <item x="96"/>
        <item x="201"/>
        <item x="306"/>
        <item x="97"/>
        <item x="202"/>
        <item x="307"/>
        <item x="98"/>
        <item x="203"/>
        <item x="308"/>
        <item x="99"/>
        <item x="204"/>
        <item x="309"/>
        <item x="100"/>
        <item x="205"/>
        <item x="310"/>
        <item x="101"/>
        <item x="206"/>
        <item x="311"/>
        <item x="102"/>
        <item x="207"/>
        <item x="312"/>
        <item x="103"/>
        <item x="208"/>
        <item t="default"/>
      </items>
    </pivotField>
    <pivotField axis="axisPage" showAll="0">
      <items count="4">
        <item x="1"/>
        <item x="0"/>
        <item x="2"/>
        <item t="default"/>
      </items>
    </pivotField>
    <pivotField showAll="0"/>
    <pivotField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8">
    <i>
      <x v="1"/>
    </i>
    <i>
      <x v="6"/>
    </i>
    <i>
      <x v="4"/>
    </i>
    <i>
      <x v="3"/>
    </i>
    <i>
      <x v="2"/>
    </i>
    <i>
      <x v="5"/>
    </i>
    <i>
      <x/>
    </i>
    <i t="grand">
      <x/>
    </i>
  </rowItems>
  <colItems count="1">
    <i/>
  </colItems>
  <pageFields count="1">
    <pageField fld="8" item="1" hier="-1"/>
  </pageFields>
  <dataFields count="1">
    <dataField name="Sum of Loan_Amount_LKR" fld="5" baseField="0" baseItem="0" numFmtId="3"/>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8B751A-FCFC-4B41-B752-2F3268200F7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10:S15" firstHeaderRow="1" firstDataRow="1" firstDataCol="1"/>
  <pivotFields count="14">
    <pivotField showAll="0"/>
    <pivotField showAll="0"/>
    <pivotField showAll="0"/>
    <pivotField showAll="0"/>
    <pivotField showAll="0"/>
    <pivotField dataField="1" numFmtId="3" showAll="0"/>
    <pivotField numFmtId="164" showAll="0"/>
    <pivotField numFmtId="14" showAll="0">
      <items count="351">
        <item x="313"/>
        <item x="104"/>
        <item x="209"/>
        <item x="0"/>
        <item x="314"/>
        <item x="105"/>
        <item x="210"/>
        <item x="1"/>
        <item x="315"/>
        <item x="106"/>
        <item x="211"/>
        <item x="2"/>
        <item x="316"/>
        <item x="107"/>
        <item x="212"/>
        <item x="3"/>
        <item x="317"/>
        <item x="108"/>
        <item x="213"/>
        <item x="4"/>
        <item x="318"/>
        <item x="109"/>
        <item x="214"/>
        <item x="5"/>
        <item x="319"/>
        <item x="110"/>
        <item x="215"/>
        <item x="6"/>
        <item x="320"/>
        <item x="111"/>
        <item x="216"/>
        <item x="7"/>
        <item x="321"/>
        <item x="112"/>
        <item x="217"/>
        <item x="8"/>
        <item x="322"/>
        <item x="113"/>
        <item x="218"/>
        <item x="9"/>
        <item x="323"/>
        <item x="114"/>
        <item x="219"/>
        <item x="10"/>
        <item x="324"/>
        <item x="115"/>
        <item x="220"/>
        <item x="11"/>
        <item x="325"/>
        <item x="116"/>
        <item x="221"/>
        <item x="12"/>
        <item x="326"/>
        <item x="117"/>
        <item x="222"/>
        <item x="13"/>
        <item x="327"/>
        <item x="118"/>
        <item x="223"/>
        <item x="14"/>
        <item x="328"/>
        <item x="119"/>
        <item x="224"/>
        <item x="15"/>
        <item x="329"/>
        <item x="120"/>
        <item x="225"/>
        <item x="16"/>
        <item x="330"/>
        <item x="121"/>
        <item x="226"/>
        <item x="17"/>
        <item x="331"/>
        <item x="122"/>
        <item x="227"/>
        <item x="18"/>
        <item x="332"/>
        <item x="123"/>
        <item x="228"/>
        <item x="19"/>
        <item x="333"/>
        <item x="124"/>
        <item x="229"/>
        <item x="20"/>
        <item x="334"/>
        <item x="125"/>
        <item x="230"/>
        <item x="21"/>
        <item x="335"/>
        <item x="126"/>
        <item x="231"/>
        <item x="22"/>
        <item x="336"/>
        <item x="127"/>
        <item x="232"/>
        <item x="23"/>
        <item x="337"/>
        <item x="128"/>
        <item x="233"/>
        <item x="24"/>
        <item x="338"/>
        <item x="129"/>
        <item x="234"/>
        <item x="25"/>
        <item x="339"/>
        <item x="130"/>
        <item x="235"/>
        <item x="26"/>
        <item x="340"/>
        <item x="131"/>
        <item x="236"/>
        <item x="27"/>
        <item x="341"/>
        <item x="132"/>
        <item x="237"/>
        <item x="28"/>
        <item x="342"/>
        <item x="133"/>
        <item x="238"/>
        <item x="29"/>
        <item x="343"/>
        <item x="134"/>
        <item x="239"/>
        <item x="30"/>
        <item x="344"/>
        <item x="135"/>
        <item x="240"/>
        <item x="31"/>
        <item x="345"/>
        <item x="136"/>
        <item x="241"/>
        <item x="32"/>
        <item x="346"/>
        <item x="137"/>
        <item x="242"/>
        <item x="33"/>
        <item x="347"/>
        <item x="138"/>
        <item x="243"/>
        <item x="34"/>
        <item x="348"/>
        <item x="139"/>
        <item x="244"/>
        <item x="35"/>
        <item x="349"/>
        <item x="140"/>
        <item x="245"/>
        <item x="36"/>
        <item x="141"/>
        <item x="246"/>
        <item x="37"/>
        <item x="142"/>
        <item x="247"/>
        <item x="38"/>
        <item x="143"/>
        <item x="248"/>
        <item x="39"/>
        <item x="144"/>
        <item x="249"/>
        <item x="40"/>
        <item x="145"/>
        <item x="250"/>
        <item x="41"/>
        <item x="146"/>
        <item x="251"/>
        <item x="42"/>
        <item x="147"/>
        <item x="252"/>
        <item x="43"/>
        <item x="148"/>
        <item x="253"/>
        <item x="44"/>
        <item x="149"/>
        <item x="254"/>
        <item x="45"/>
        <item x="150"/>
        <item x="255"/>
        <item x="46"/>
        <item x="151"/>
        <item x="256"/>
        <item x="47"/>
        <item x="152"/>
        <item x="257"/>
        <item x="48"/>
        <item x="153"/>
        <item x="258"/>
        <item x="49"/>
        <item x="154"/>
        <item x="259"/>
        <item x="50"/>
        <item x="155"/>
        <item x="260"/>
        <item x="51"/>
        <item x="156"/>
        <item x="261"/>
        <item x="52"/>
        <item x="157"/>
        <item x="262"/>
        <item x="53"/>
        <item x="158"/>
        <item x="263"/>
        <item x="54"/>
        <item x="159"/>
        <item x="264"/>
        <item x="55"/>
        <item x="160"/>
        <item x="265"/>
        <item x="56"/>
        <item x="161"/>
        <item x="266"/>
        <item x="57"/>
        <item x="162"/>
        <item x="267"/>
        <item x="58"/>
        <item x="163"/>
        <item x="268"/>
        <item x="59"/>
        <item x="164"/>
        <item x="269"/>
        <item x="60"/>
        <item x="165"/>
        <item x="270"/>
        <item x="61"/>
        <item x="166"/>
        <item x="271"/>
        <item x="62"/>
        <item x="167"/>
        <item x="272"/>
        <item x="63"/>
        <item x="168"/>
        <item x="273"/>
        <item x="64"/>
        <item x="169"/>
        <item x="274"/>
        <item x="65"/>
        <item x="170"/>
        <item x="275"/>
        <item x="66"/>
        <item x="171"/>
        <item x="276"/>
        <item x="67"/>
        <item x="172"/>
        <item x="277"/>
        <item x="68"/>
        <item x="173"/>
        <item x="278"/>
        <item x="69"/>
        <item x="174"/>
        <item x="279"/>
        <item x="70"/>
        <item x="175"/>
        <item x="280"/>
        <item x="71"/>
        <item x="176"/>
        <item x="281"/>
        <item x="72"/>
        <item x="177"/>
        <item x="282"/>
        <item x="73"/>
        <item x="178"/>
        <item x="283"/>
        <item x="74"/>
        <item x="179"/>
        <item x="284"/>
        <item x="75"/>
        <item x="180"/>
        <item x="285"/>
        <item x="76"/>
        <item x="181"/>
        <item x="286"/>
        <item x="77"/>
        <item x="182"/>
        <item x="287"/>
        <item x="78"/>
        <item x="183"/>
        <item x="288"/>
        <item x="79"/>
        <item x="184"/>
        <item x="289"/>
        <item x="80"/>
        <item x="185"/>
        <item x="290"/>
        <item x="81"/>
        <item x="186"/>
        <item x="291"/>
        <item x="82"/>
        <item x="187"/>
        <item x="292"/>
        <item x="83"/>
        <item x="188"/>
        <item x="293"/>
        <item x="84"/>
        <item x="189"/>
        <item x="294"/>
        <item x="85"/>
        <item x="190"/>
        <item x="295"/>
        <item x="86"/>
        <item x="191"/>
        <item x="296"/>
        <item x="87"/>
        <item x="192"/>
        <item x="297"/>
        <item x="88"/>
        <item x="193"/>
        <item x="298"/>
        <item x="89"/>
        <item x="194"/>
        <item x="299"/>
        <item x="90"/>
        <item x="195"/>
        <item x="300"/>
        <item x="91"/>
        <item x="196"/>
        <item x="301"/>
        <item x="92"/>
        <item x="197"/>
        <item x="302"/>
        <item x="93"/>
        <item x="198"/>
        <item x="303"/>
        <item x="94"/>
        <item x="199"/>
        <item x="304"/>
        <item x="95"/>
        <item x="200"/>
        <item x="305"/>
        <item x="96"/>
        <item x="201"/>
        <item x="306"/>
        <item x="97"/>
        <item x="202"/>
        <item x="307"/>
        <item x="98"/>
        <item x="203"/>
        <item x="308"/>
        <item x="99"/>
        <item x="204"/>
        <item x="309"/>
        <item x="100"/>
        <item x="205"/>
        <item x="310"/>
        <item x="101"/>
        <item x="206"/>
        <item x="311"/>
        <item x="102"/>
        <item x="207"/>
        <item x="312"/>
        <item x="103"/>
        <item x="208"/>
        <item t="default"/>
      </items>
    </pivotField>
    <pivotField showAll="0"/>
    <pivotField showAll="0"/>
    <pivotField showAll="0"/>
    <pivotField numFmtId="3" showAll="0"/>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s>
  <rowFields count="1">
    <field x="13"/>
  </rowFields>
  <rowItems count="5">
    <i>
      <x v="1"/>
    </i>
    <i>
      <x v="2"/>
    </i>
    <i>
      <x v="3"/>
    </i>
    <i>
      <x v="4"/>
    </i>
    <i t="grand">
      <x/>
    </i>
  </rowItems>
  <colItems count="1">
    <i/>
  </colItems>
  <dataFields count="1">
    <dataField name="Sum of Loan_Amount_LKR" fld="5" showDataAs="percentOfTotal" baseField="0" baseItem="0" numFmtId="1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3" count="1" selected="0">
            <x v="1"/>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 chart="2" format="4">
      <pivotArea type="data" outline="0" fieldPosition="0">
        <references count="2">
          <reference field="4294967294" count="1" selected="0">
            <x v="0"/>
          </reference>
          <reference field="13" count="1" selected="0">
            <x v="3"/>
          </reference>
        </references>
      </pivotArea>
    </chartFormat>
    <chartFormat chart="2" format="5">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03EDF6-BCE6-4A8F-BD16-9C274DDF11A2}"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4" firstHeaderRow="0" firstDataRow="0" firstDataCol="0"/>
  <pivotFields count="14">
    <pivotField showAll="0"/>
    <pivotField showAll="0"/>
    <pivotField showAll="0"/>
    <pivotField showAll="0"/>
    <pivotField showAll="0"/>
    <pivotField numFmtId="3" showAll="0"/>
    <pivotField numFmtId="164" showAll="0"/>
    <pivotField showAll="0">
      <items count="351">
        <item x="313"/>
        <item x="104"/>
        <item x="209"/>
        <item x="0"/>
        <item x="314"/>
        <item x="105"/>
        <item x="210"/>
        <item x="1"/>
        <item x="315"/>
        <item x="106"/>
        <item x="211"/>
        <item x="2"/>
        <item x="316"/>
        <item x="107"/>
        <item x="212"/>
        <item x="3"/>
        <item x="317"/>
        <item x="108"/>
        <item x="213"/>
        <item x="4"/>
        <item x="318"/>
        <item x="109"/>
        <item x="214"/>
        <item x="5"/>
        <item x="319"/>
        <item x="110"/>
        <item x="215"/>
        <item x="6"/>
        <item x="320"/>
        <item x="111"/>
        <item x="216"/>
        <item x="7"/>
        <item x="321"/>
        <item x="112"/>
        <item x="217"/>
        <item x="8"/>
        <item x="322"/>
        <item x="113"/>
        <item x="218"/>
        <item x="9"/>
        <item x="323"/>
        <item x="114"/>
        <item x="219"/>
        <item x="10"/>
        <item x="324"/>
        <item x="115"/>
        <item x="220"/>
        <item x="11"/>
        <item x="325"/>
        <item x="116"/>
        <item x="221"/>
        <item x="12"/>
        <item x="326"/>
        <item x="117"/>
        <item x="222"/>
        <item x="13"/>
        <item x="327"/>
        <item x="118"/>
        <item x="223"/>
        <item x="14"/>
        <item x="328"/>
        <item x="119"/>
        <item x="224"/>
        <item x="15"/>
        <item x="329"/>
        <item x="120"/>
        <item x="225"/>
        <item x="16"/>
        <item x="330"/>
        <item x="121"/>
        <item x="226"/>
        <item x="17"/>
        <item x="331"/>
        <item x="122"/>
        <item x="227"/>
        <item x="18"/>
        <item x="332"/>
        <item x="123"/>
        <item x="228"/>
        <item x="19"/>
        <item x="333"/>
        <item x="124"/>
        <item x="229"/>
        <item x="20"/>
        <item x="334"/>
        <item x="125"/>
        <item x="230"/>
        <item x="21"/>
        <item x="335"/>
        <item x="126"/>
        <item x="231"/>
        <item x="22"/>
        <item x="336"/>
        <item x="127"/>
        <item x="232"/>
        <item x="23"/>
        <item x="337"/>
        <item x="128"/>
        <item x="233"/>
        <item x="24"/>
        <item x="338"/>
        <item x="129"/>
        <item x="234"/>
        <item x="25"/>
        <item x="339"/>
        <item x="130"/>
        <item x="235"/>
        <item x="26"/>
        <item x="340"/>
        <item x="131"/>
        <item x="236"/>
        <item x="27"/>
        <item x="341"/>
        <item x="132"/>
        <item x="237"/>
        <item x="28"/>
        <item x="342"/>
        <item x="133"/>
        <item x="238"/>
        <item x="29"/>
        <item x="343"/>
        <item x="134"/>
        <item x="239"/>
        <item x="30"/>
        <item x="344"/>
        <item x="135"/>
        <item x="240"/>
        <item x="31"/>
        <item x="345"/>
        <item x="136"/>
        <item x="241"/>
        <item x="32"/>
        <item x="346"/>
        <item x="137"/>
        <item x="242"/>
        <item x="33"/>
        <item x="347"/>
        <item x="138"/>
        <item x="243"/>
        <item x="34"/>
        <item x="348"/>
        <item x="139"/>
        <item x="244"/>
        <item x="35"/>
        <item x="349"/>
        <item x="140"/>
        <item x="245"/>
        <item x="36"/>
        <item x="141"/>
        <item x="246"/>
        <item x="37"/>
        <item x="142"/>
        <item x="247"/>
        <item x="38"/>
        <item x="143"/>
        <item x="248"/>
        <item x="39"/>
        <item x="144"/>
        <item x="249"/>
        <item x="40"/>
        <item x="145"/>
        <item x="250"/>
        <item x="41"/>
        <item x="146"/>
        <item x="251"/>
        <item x="42"/>
        <item x="147"/>
        <item x="252"/>
        <item x="43"/>
        <item x="148"/>
        <item x="253"/>
        <item x="44"/>
        <item x="149"/>
        <item x="254"/>
        <item x="45"/>
        <item x="150"/>
        <item x="255"/>
        <item x="46"/>
        <item x="151"/>
        <item x="256"/>
        <item x="47"/>
        <item x="152"/>
        <item x="257"/>
        <item x="48"/>
        <item x="153"/>
        <item x="258"/>
        <item x="49"/>
        <item x="154"/>
        <item x="259"/>
        <item x="50"/>
        <item x="155"/>
        <item x="260"/>
        <item x="51"/>
        <item x="156"/>
        <item x="261"/>
        <item x="52"/>
        <item x="157"/>
        <item x="262"/>
        <item x="53"/>
        <item x="158"/>
        <item x="263"/>
        <item x="54"/>
        <item x="159"/>
        <item x="264"/>
        <item x="55"/>
        <item x="160"/>
        <item x="265"/>
        <item x="56"/>
        <item x="161"/>
        <item x="266"/>
        <item x="57"/>
        <item x="162"/>
        <item x="267"/>
        <item x="58"/>
        <item x="163"/>
        <item x="268"/>
        <item x="59"/>
        <item x="164"/>
        <item x="269"/>
        <item x="60"/>
        <item x="165"/>
        <item x="270"/>
        <item x="61"/>
        <item x="166"/>
        <item x="271"/>
        <item x="62"/>
        <item x="167"/>
        <item x="272"/>
        <item x="63"/>
        <item x="168"/>
        <item x="273"/>
        <item x="64"/>
        <item x="169"/>
        <item x="274"/>
        <item x="65"/>
        <item x="170"/>
        <item x="275"/>
        <item x="66"/>
        <item x="171"/>
        <item x="276"/>
        <item x="67"/>
        <item x="172"/>
        <item x="277"/>
        <item x="68"/>
        <item x="173"/>
        <item x="278"/>
        <item x="69"/>
        <item x="174"/>
        <item x="279"/>
        <item x="70"/>
        <item x="175"/>
        <item x="280"/>
        <item x="71"/>
        <item x="176"/>
        <item x="281"/>
        <item x="72"/>
        <item x="177"/>
        <item x="282"/>
        <item x="73"/>
        <item x="178"/>
        <item x="283"/>
        <item x="74"/>
        <item x="179"/>
        <item x="284"/>
        <item x="75"/>
        <item x="180"/>
        <item x="285"/>
        <item x="76"/>
        <item x="181"/>
        <item x="286"/>
        <item x="77"/>
        <item x="182"/>
        <item x="287"/>
        <item x="78"/>
        <item x="183"/>
        <item x="288"/>
        <item x="79"/>
        <item x="184"/>
        <item x="289"/>
        <item x="80"/>
        <item x="185"/>
        <item x="290"/>
        <item x="81"/>
        <item x="186"/>
        <item x="291"/>
        <item x="82"/>
        <item x="187"/>
        <item x="292"/>
        <item x="83"/>
        <item x="188"/>
        <item x="293"/>
        <item x="84"/>
        <item x="189"/>
        <item x="294"/>
        <item x="85"/>
        <item x="190"/>
        <item x="295"/>
        <item x="86"/>
        <item x="191"/>
        <item x="296"/>
        <item x="87"/>
        <item x="192"/>
        <item x="297"/>
        <item x="88"/>
        <item x="193"/>
        <item x="298"/>
        <item x="89"/>
        <item x="194"/>
        <item x="299"/>
        <item x="90"/>
        <item x="195"/>
        <item x="300"/>
        <item x="91"/>
        <item x="196"/>
        <item x="301"/>
        <item x="92"/>
        <item x="197"/>
        <item x="302"/>
        <item x="93"/>
        <item x="198"/>
        <item x="303"/>
        <item x="94"/>
        <item x="199"/>
        <item x="304"/>
        <item x="95"/>
        <item x="200"/>
        <item x="305"/>
        <item x="96"/>
        <item x="201"/>
        <item x="306"/>
        <item x="97"/>
        <item x="202"/>
        <item x="307"/>
        <item x="98"/>
        <item x="203"/>
        <item x="308"/>
        <item x="99"/>
        <item x="204"/>
        <item x="309"/>
        <item x="100"/>
        <item x="205"/>
        <item x="310"/>
        <item x="101"/>
        <item x="206"/>
        <item x="311"/>
        <item x="102"/>
        <item x="207"/>
        <item x="312"/>
        <item x="103"/>
        <item x="208"/>
        <item t="default"/>
      </items>
    </pivotField>
    <pivotField axis="axisPage" showAll="0">
      <items count="4">
        <item x="1"/>
        <item x="0"/>
        <item x="2"/>
        <item t="default"/>
      </items>
    </pivotField>
    <pivotField showAll="0"/>
    <pivotField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pageFields count="1">
    <pageField fld="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23D347-4963-492C-8942-1A222059E3D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J2:K9" firstHeaderRow="1" firstDataRow="1" firstDataCol="1"/>
  <pivotFields count="14">
    <pivotField showAll="0"/>
    <pivotField showAll="0"/>
    <pivotField showAll="0"/>
    <pivotField axis="axisRow" showAll="0">
      <items count="8">
        <item x="6"/>
        <item x="2"/>
        <item x="1"/>
        <item x="4"/>
        <item x="5"/>
        <item x="3"/>
        <item x="0"/>
        <item t="default"/>
      </items>
    </pivotField>
    <pivotField showAll="0"/>
    <pivotField numFmtId="3" showAll="0"/>
    <pivotField numFmtId="164" showAll="0"/>
    <pivotField showAll="0">
      <items count="351">
        <item x="313"/>
        <item x="104"/>
        <item x="209"/>
        <item x="0"/>
        <item x="314"/>
        <item x="105"/>
        <item x="210"/>
        <item x="1"/>
        <item x="315"/>
        <item x="106"/>
        <item x="211"/>
        <item x="2"/>
        <item x="316"/>
        <item x="107"/>
        <item x="212"/>
        <item x="3"/>
        <item x="317"/>
        <item x="108"/>
        <item x="213"/>
        <item x="4"/>
        <item x="318"/>
        <item x="109"/>
        <item x="214"/>
        <item x="5"/>
        <item x="319"/>
        <item x="110"/>
        <item x="215"/>
        <item x="6"/>
        <item x="320"/>
        <item x="111"/>
        <item x="216"/>
        <item x="7"/>
        <item x="321"/>
        <item x="112"/>
        <item x="217"/>
        <item x="8"/>
        <item x="322"/>
        <item x="113"/>
        <item x="218"/>
        <item x="9"/>
        <item x="323"/>
        <item x="114"/>
        <item x="219"/>
        <item x="10"/>
        <item x="324"/>
        <item x="115"/>
        <item x="220"/>
        <item x="11"/>
        <item x="325"/>
        <item x="116"/>
        <item x="221"/>
        <item x="12"/>
        <item x="326"/>
        <item x="117"/>
        <item x="222"/>
        <item x="13"/>
        <item x="327"/>
        <item x="118"/>
        <item x="223"/>
        <item x="14"/>
        <item x="328"/>
        <item x="119"/>
        <item x="224"/>
        <item x="15"/>
        <item x="329"/>
        <item x="120"/>
        <item x="225"/>
        <item x="16"/>
        <item x="330"/>
        <item x="121"/>
        <item x="226"/>
        <item x="17"/>
        <item x="331"/>
        <item x="122"/>
        <item x="227"/>
        <item x="18"/>
        <item x="332"/>
        <item x="123"/>
        <item x="228"/>
        <item x="19"/>
        <item x="333"/>
        <item x="124"/>
        <item x="229"/>
        <item x="20"/>
        <item x="334"/>
        <item x="125"/>
        <item x="230"/>
        <item x="21"/>
        <item x="335"/>
        <item x="126"/>
        <item x="231"/>
        <item x="22"/>
        <item x="336"/>
        <item x="127"/>
        <item x="232"/>
        <item x="23"/>
        <item x="337"/>
        <item x="128"/>
        <item x="233"/>
        <item x="24"/>
        <item x="338"/>
        <item x="129"/>
        <item x="234"/>
        <item x="25"/>
        <item x="339"/>
        <item x="130"/>
        <item x="235"/>
        <item x="26"/>
        <item x="340"/>
        <item x="131"/>
        <item x="236"/>
        <item x="27"/>
        <item x="341"/>
        <item x="132"/>
        <item x="237"/>
        <item x="28"/>
        <item x="342"/>
        <item x="133"/>
        <item x="238"/>
        <item x="29"/>
        <item x="343"/>
        <item x="134"/>
        <item x="239"/>
        <item x="30"/>
        <item x="344"/>
        <item x="135"/>
        <item x="240"/>
        <item x="31"/>
        <item x="345"/>
        <item x="136"/>
        <item x="241"/>
        <item x="32"/>
        <item x="346"/>
        <item x="137"/>
        <item x="242"/>
        <item x="33"/>
        <item x="347"/>
        <item x="138"/>
        <item x="243"/>
        <item x="34"/>
        <item x="348"/>
        <item x="139"/>
        <item x="244"/>
        <item x="35"/>
        <item x="349"/>
        <item x="140"/>
        <item x="245"/>
        <item x="36"/>
        <item x="141"/>
        <item x="246"/>
        <item x="37"/>
        <item x="142"/>
        <item x="247"/>
        <item x="38"/>
        <item x="143"/>
        <item x="248"/>
        <item x="39"/>
        <item x="144"/>
        <item x="249"/>
        <item x="40"/>
        <item x="145"/>
        <item x="250"/>
        <item x="41"/>
        <item x="146"/>
        <item x="251"/>
        <item x="42"/>
        <item x="147"/>
        <item x="252"/>
        <item x="43"/>
        <item x="148"/>
        <item x="253"/>
        <item x="44"/>
        <item x="149"/>
        <item x="254"/>
        <item x="45"/>
        <item x="150"/>
        <item x="255"/>
        <item x="46"/>
        <item x="151"/>
        <item x="256"/>
        <item x="47"/>
        <item x="152"/>
        <item x="257"/>
        <item x="48"/>
        <item x="153"/>
        <item x="258"/>
        <item x="49"/>
        <item x="154"/>
        <item x="259"/>
        <item x="50"/>
        <item x="155"/>
        <item x="260"/>
        <item x="51"/>
        <item x="156"/>
        <item x="261"/>
        <item x="52"/>
        <item x="157"/>
        <item x="262"/>
        <item x="53"/>
        <item x="158"/>
        <item x="263"/>
        <item x="54"/>
        <item x="159"/>
        <item x="264"/>
        <item x="55"/>
        <item x="160"/>
        <item x="265"/>
        <item x="56"/>
        <item x="161"/>
        <item x="266"/>
        <item x="57"/>
        <item x="162"/>
        <item x="267"/>
        <item x="58"/>
        <item x="163"/>
        <item x="268"/>
        <item x="59"/>
        <item x="164"/>
        <item x="269"/>
        <item x="60"/>
        <item x="165"/>
        <item x="270"/>
        <item x="61"/>
        <item x="166"/>
        <item x="271"/>
        <item x="62"/>
        <item x="167"/>
        <item x="272"/>
        <item x="63"/>
        <item x="168"/>
        <item x="273"/>
        <item x="64"/>
        <item x="169"/>
        <item x="274"/>
        <item x="65"/>
        <item x="170"/>
        <item x="275"/>
        <item x="66"/>
        <item x="171"/>
        <item x="276"/>
        <item x="67"/>
        <item x="172"/>
        <item x="277"/>
        <item x="68"/>
        <item x="173"/>
        <item x="278"/>
        <item x="69"/>
        <item x="174"/>
        <item x="279"/>
        <item x="70"/>
        <item x="175"/>
        <item x="280"/>
        <item x="71"/>
        <item x="176"/>
        <item x="281"/>
        <item x="72"/>
        <item x="177"/>
        <item x="282"/>
        <item x="73"/>
        <item x="178"/>
        <item x="283"/>
        <item x="74"/>
        <item x="179"/>
        <item x="284"/>
        <item x="75"/>
        <item x="180"/>
        <item x="285"/>
        <item x="76"/>
        <item x="181"/>
        <item x="286"/>
        <item x="77"/>
        <item x="182"/>
        <item x="287"/>
        <item x="78"/>
        <item x="183"/>
        <item x="288"/>
        <item x="79"/>
        <item x="184"/>
        <item x="289"/>
        <item x="80"/>
        <item x="185"/>
        <item x="290"/>
        <item x="81"/>
        <item x="186"/>
        <item x="291"/>
        <item x="82"/>
        <item x="187"/>
        <item x="292"/>
        <item x="83"/>
        <item x="188"/>
        <item x="293"/>
        <item x="84"/>
        <item x="189"/>
        <item x="294"/>
        <item x="85"/>
        <item x="190"/>
        <item x="295"/>
        <item x="86"/>
        <item x="191"/>
        <item x="296"/>
        <item x="87"/>
        <item x="192"/>
        <item x="297"/>
        <item x="88"/>
        <item x="193"/>
        <item x="298"/>
        <item x="89"/>
        <item x="194"/>
        <item x="299"/>
        <item x="90"/>
        <item x="195"/>
        <item x="300"/>
        <item x="91"/>
        <item x="196"/>
        <item x="301"/>
        <item x="92"/>
        <item x="197"/>
        <item x="302"/>
        <item x="93"/>
        <item x="198"/>
        <item x="303"/>
        <item x="94"/>
        <item x="199"/>
        <item x="304"/>
        <item x="95"/>
        <item x="200"/>
        <item x="305"/>
        <item x="96"/>
        <item x="201"/>
        <item x="306"/>
        <item x="97"/>
        <item x="202"/>
        <item x="307"/>
        <item x="98"/>
        <item x="203"/>
        <item x="308"/>
        <item x="99"/>
        <item x="204"/>
        <item x="309"/>
        <item x="100"/>
        <item x="205"/>
        <item x="310"/>
        <item x="101"/>
        <item x="206"/>
        <item x="311"/>
        <item x="102"/>
        <item x="207"/>
        <item x="312"/>
        <item x="103"/>
        <item x="208"/>
        <item t="default"/>
      </items>
    </pivotField>
    <pivotField showAll="0"/>
    <pivotField showAll="0"/>
    <pivotField showAll="0"/>
    <pivotField dataField="1"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7">
    <i>
      <x/>
    </i>
    <i>
      <x v="1"/>
    </i>
    <i>
      <x v="2"/>
    </i>
    <i>
      <x v="3"/>
    </i>
    <i>
      <x v="4"/>
    </i>
    <i>
      <x v="5"/>
    </i>
    <i>
      <x v="6"/>
    </i>
  </rowItems>
  <colItems count="1">
    <i/>
  </colItems>
  <dataFields count="1">
    <dataField name="Average of Monthly_Income_LKR" fld="11" subtotal="average" baseField="3" baseItem="0" numFmtId="3"/>
  </dataFields>
  <formats count="5">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8C9FE8-B923-47CF-935C-F3B6A02F5068}"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2:S7" firstHeaderRow="1" firstDataRow="1" firstDataCol="1"/>
  <pivotFields count="14">
    <pivotField showAll="0"/>
    <pivotField showAll="0"/>
    <pivotField showAll="0"/>
    <pivotField showAll="0"/>
    <pivotField showAll="0"/>
    <pivotField dataField="1" numFmtId="3" showAll="0"/>
    <pivotField numFmtId="164" showAll="0"/>
    <pivotField showAll="0">
      <items count="351">
        <item x="313"/>
        <item x="104"/>
        <item x="209"/>
        <item x="0"/>
        <item x="314"/>
        <item x="105"/>
        <item x="210"/>
        <item x="1"/>
        <item x="315"/>
        <item x="106"/>
        <item x="211"/>
        <item x="2"/>
        <item x="316"/>
        <item x="107"/>
        <item x="212"/>
        <item x="3"/>
        <item x="317"/>
        <item x="108"/>
        <item x="213"/>
        <item x="4"/>
        <item x="318"/>
        <item x="109"/>
        <item x="214"/>
        <item x="5"/>
        <item x="319"/>
        <item x="110"/>
        <item x="215"/>
        <item x="6"/>
        <item x="320"/>
        <item x="111"/>
        <item x="216"/>
        <item x="7"/>
        <item x="321"/>
        <item x="112"/>
        <item x="217"/>
        <item x="8"/>
        <item x="322"/>
        <item x="113"/>
        <item x="218"/>
        <item x="9"/>
        <item x="323"/>
        <item x="114"/>
        <item x="219"/>
        <item x="10"/>
        <item x="324"/>
        <item x="115"/>
        <item x="220"/>
        <item x="11"/>
        <item x="325"/>
        <item x="116"/>
        <item x="221"/>
        <item x="12"/>
        <item x="326"/>
        <item x="117"/>
        <item x="222"/>
        <item x="13"/>
        <item x="327"/>
        <item x="118"/>
        <item x="223"/>
        <item x="14"/>
        <item x="328"/>
        <item x="119"/>
        <item x="224"/>
        <item x="15"/>
        <item x="329"/>
        <item x="120"/>
        <item x="225"/>
        <item x="16"/>
        <item x="330"/>
        <item x="121"/>
        <item x="226"/>
        <item x="17"/>
        <item x="331"/>
        <item x="122"/>
        <item x="227"/>
        <item x="18"/>
        <item x="332"/>
        <item x="123"/>
        <item x="228"/>
        <item x="19"/>
        <item x="333"/>
        <item x="124"/>
        <item x="229"/>
        <item x="20"/>
        <item x="334"/>
        <item x="125"/>
        <item x="230"/>
        <item x="21"/>
        <item x="335"/>
        <item x="126"/>
        <item x="231"/>
        <item x="22"/>
        <item x="336"/>
        <item x="127"/>
        <item x="232"/>
        <item x="23"/>
        <item x="337"/>
        <item x="128"/>
        <item x="233"/>
        <item x="24"/>
        <item x="338"/>
        <item x="129"/>
        <item x="234"/>
        <item x="25"/>
        <item x="339"/>
        <item x="130"/>
        <item x="235"/>
        <item x="26"/>
        <item x="340"/>
        <item x="131"/>
        <item x="236"/>
        <item x="27"/>
        <item x="341"/>
        <item x="132"/>
        <item x="237"/>
        <item x="28"/>
        <item x="342"/>
        <item x="133"/>
        <item x="238"/>
        <item x="29"/>
        <item x="343"/>
        <item x="134"/>
        <item x="239"/>
        <item x="30"/>
        <item x="344"/>
        <item x="135"/>
        <item x="240"/>
        <item x="31"/>
        <item x="345"/>
        <item x="136"/>
        <item x="241"/>
        <item x="32"/>
        <item x="346"/>
        <item x="137"/>
        <item x="242"/>
        <item x="33"/>
        <item x="347"/>
        <item x="138"/>
        <item x="243"/>
        <item x="34"/>
        <item x="348"/>
        <item x="139"/>
        <item x="244"/>
        <item x="35"/>
        <item x="349"/>
        <item x="140"/>
        <item x="245"/>
        <item x="36"/>
        <item x="141"/>
        <item x="246"/>
        <item x="37"/>
        <item x="142"/>
        <item x="247"/>
        <item x="38"/>
        <item x="143"/>
        <item x="248"/>
        <item x="39"/>
        <item x="144"/>
        <item x="249"/>
        <item x="40"/>
        <item x="145"/>
        <item x="250"/>
        <item x="41"/>
        <item x="146"/>
        <item x="251"/>
        <item x="42"/>
        <item x="147"/>
        <item x="252"/>
        <item x="43"/>
        <item x="148"/>
        <item x="253"/>
        <item x="44"/>
        <item x="149"/>
        <item x="254"/>
        <item x="45"/>
        <item x="150"/>
        <item x="255"/>
        <item x="46"/>
        <item x="151"/>
        <item x="256"/>
        <item x="47"/>
        <item x="152"/>
        <item x="257"/>
        <item x="48"/>
        <item x="153"/>
        <item x="258"/>
        <item x="49"/>
        <item x="154"/>
        <item x="259"/>
        <item x="50"/>
        <item x="155"/>
        <item x="260"/>
        <item x="51"/>
        <item x="156"/>
        <item x="261"/>
        <item x="52"/>
        <item x="157"/>
        <item x="262"/>
        <item x="53"/>
        <item x="158"/>
        <item x="263"/>
        <item x="54"/>
        <item x="159"/>
        <item x="264"/>
        <item x="55"/>
        <item x="160"/>
        <item x="265"/>
        <item x="56"/>
        <item x="161"/>
        <item x="266"/>
        <item x="57"/>
        <item x="162"/>
        <item x="267"/>
        <item x="58"/>
        <item x="163"/>
        <item x="268"/>
        <item x="59"/>
        <item x="164"/>
        <item x="269"/>
        <item x="60"/>
        <item x="165"/>
        <item x="270"/>
        <item x="61"/>
        <item x="166"/>
        <item x="271"/>
        <item x="62"/>
        <item x="167"/>
        <item x="272"/>
        <item x="63"/>
        <item x="168"/>
        <item x="273"/>
        <item x="64"/>
        <item x="169"/>
        <item x="274"/>
        <item x="65"/>
        <item x="170"/>
        <item x="275"/>
        <item x="66"/>
        <item x="171"/>
        <item x="276"/>
        <item x="67"/>
        <item x="172"/>
        <item x="277"/>
        <item x="68"/>
        <item x="173"/>
        <item x="278"/>
        <item x="69"/>
        <item x="174"/>
        <item x="279"/>
        <item x="70"/>
        <item x="175"/>
        <item x="280"/>
        <item x="71"/>
        <item x="176"/>
        <item x="281"/>
        <item x="72"/>
        <item x="177"/>
        <item x="282"/>
        <item x="73"/>
        <item x="178"/>
        <item x="283"/>
        <item x="74"/>
        <item x="179"/>
        <item x="284"/>
        <item x="75"/>
        <item x="180"/>
        <item x="285"/>
        <item x="76"/>
        <item x="181"/>
        <item x="286"/>
        <item x="77"/>
        <item x="182"/>
        <item x="287"/>
        <item x="78"/>
        <item x="183"/>
        <item x="288"/>
        <item x="79"/>
        <item x="184"/>
        <item x="289"/>
        <item x="80"/>
        <item x="185"/>
        <item x="290"/>
        <item x="81"/>
        <item x="186"/>
        <item x="291"/>
        <item x="82"/>
        <item x="187"/>
        <item x="292"/>
        <item x="83"/>
        <item x="188"/>
        <item x="293"/>
        <item x="84"/>
        <item x="189"/>
        <item x="294"/>
        <item x="85"/>
        <item x="190"/>
        <item x="295"/>
        <item x="86"/>
        <item x="191"/>
        <item x="296"/>
        <item x="87"/>
        <item x="192"/>
        <item x="297"/>
        <item x="88"/>
        <item x="193"/>
        <item x="298"/>
        <item x="89"/>
        <item x="194"/>
        <item x="299"/>
        <item x="90"/>
        <item x="195"/>
        <item x="300"/>
        <item x="91"/>
        <item x="196"/>
        <item x="301"/>
        <item x="92"/>
        <item x="197"/>
        <item x="302"/>
        <item x="93"/>
        <item x="198"/>
        <item x="303"/>
        <item x="94"/>
        <item x="199"/>
        <item x="304"/>
        <item x="95"/>
        <item x="200"/>
        <item x="305"/>
        <item x="96"/>
        <item x="201"/>
        <item x="306"/>
        <item x="97"/>
        <item x="202"/>
        <item x="307"/>
        <item x="98"/>
        <item x="203"/>
        <item x="308"/>
        <item x="99"/>
        <item x="204"/>
        <item x="309"/>
        <item x="100"/>
        <item x="205"/>
        <item x="310"/>
        <item x="101"/>
        <item x="206"/>
        <item x="311"/>
        <item x="102"/>
        <item x="207"/>
        <item x="312"/>
        <item x="103"/>
        <item x="208"/>
        <item t="default"/>
      </items>
    </pivotField>
    <pivotField showAll="0"/>
    <pivotField showAll="0"/>
    <pivotField showAll="0"/>
    <pivotField numFmtId="3" showAll="0"/>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1">
    <field x="13"/>
  </rowFields>
  <rowItems count="5">
    <i>
      <x v="1"/>
    </i>
    <i>
      <x v="2"/>
    </i>
    <i>
      <x v="3"/>
    </i>
    <i>
      <x v="4"/>
    </i>
    <i t="grand">
      <x/>
    </i>
  </rowItems>
  <colItems count="1">
    <i/>
  </colItems>
  <dataFields count="1">
    <dataField name="Sum of Loan_Amount_LKR" fld="5"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6228DDF-59D2-45B5-9D88-C0787C154215}" sourceName="Branch">
  <pivotTables>
    <pivotTable tabId="5" name="PivotTable5"/>
  </pivotTables>
  <data>
    <tabular pivotCacheId="1231415931">
      <items count="7">
        <i x="6" s="1"/>
        <i x="2" s="1"/>
        <i x="1" s="1"/>
        <i x="4" s="1"/>
        <i x="5"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Rating" xr10:uid="{CE99467E-70C9-4BF6-8504-3C8C6D05BEDF}" sourceName="Risk_Rating">
  <pivotTables>
    <pivotTable tabId="5" name="PivotTable5"/>
  </pivotTables>
  <data>
    <tabular pivotCacheId="123141593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FB7A4EAA-5976-491B-803B-377E128C82B9}" cache="Slicer_Branch" caption="Branch" rowHeight="234950"/>
  <slicer name="Risk_Rating" xr10:uid="{30F4F2E6-4F6E-41EE-AE82-921219A6F8E8}" cache="Slicer_Risk_Rating" caption="Risk_Rating"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51"/>
  <sheetViews>
    <sheetView workbookViewId="0">
      <pane ySplit="1" topLeftCell="A24" activePane="bottomLeft" state="frozen"/>
      <selection pane="bottomLeft" activeCell="O17" sqref="O17"/>
    </sheetView>
  </sheetViews>
  <sheetFormatPr defaultRowHeight="14.4"/>
  <cols>
    <col min="1" max="2" width="13" customWidth="1"/>
    <col min="3" max="3" width="18" customWidth="1"/>
    <col min="4" max="5" width="16" customWidth="1"/>
    <col min="6" max="6" width="20" customWidth="1"/>
    <col min="7" max="7" width="17" customWidth="1"/>
    <col min="8" max="10" width="14" customWidth="1"/>
    <col min="11" max="11" width="16" customWidth="1"/>
    <col min="12" max="12" width="22" customWidth="1"/>
    <col min="18" max="18" width="10.5546875" bestFit="1" customWidth="1"/>
  </cols>
  <sheetData>
    <row r="1" spans="1:18">
      <c r="A1" s="1" t="s">
        <v>0</v>
      </c>
      <c r="B1" s="1" t="s">
        <v>1</v>
      </c>
      <c r="C1" s="1" t="s">
        <v>2</v>
      </c>
      <c r="D1" s="1" t="s">
        <v>3</v>
      </c>
      <c r="E1" s="1" t="s">
        <v>4</v>
      </c>
      <c r="F1" s="1" t="s">
        <v>5</v>
      </c>
      <c r="G1" s="1" t="s">
        <v>6</v>
      </c>
      <c r="H1" s="1" t="s">
        <v>7</v>
      </c>
      <c r="I1" s="1" t="s">
        <v>8</v>
      </c>
      <c r="J1" s="1" t="s">
        <v>9</v>
      </c>
      <c r="K1" s="1" t="s">
        <v>10</v>
      </c>
      <c r="L1" s="1" t="s">
        <v>11</v>
      </c>
    </row>
    <row r="2" spans="1:18">
      <c r="A2" t="s">
        <v>12</v>
      </c>
      <c r="B2" t="s">
        <v>13</v>
      </c>
      <c r="C2" t="s">
        <v>14</v>
      </c>
      <c r="D2" t="s">
        <v>15</v>
      </c>
      <c r="E2" t="s">
        <v>16</v>
      </c>
      <c r="F2" s="2">
        <v>347000</v>
      </c>
      <c r="G2" s="3">
        <v>9.75</v>
      </c>
      <c r="H2" s="12">
        <v>44940</v>
      </c>
      <c r="I2" t="s">
        <v>17</v>
      </c>
      <c r="J2" t="s">
        <v>18</v>
      </c>
      <c r="K2" t="s">
        <v>19</v>
      </c>
      <c r="L2" s="2">
        <v>52300</v>
      </c>
    </row>
    <row r="3" spans="1:18">
      <c r="A3" t="s">
        <v>20</v>
      </c>
      <c r="B3" t="s">
        <v>21</v>
      </c>
      <c r="C3" t="s">
        <v>22</v>
      </c>
      <c r="D3" t="s">
        <v>23</v>
      </c>
      <c r="E3" t="s">
        <v>24</v>
      </c>
      <c r="F3" s="2">
        <v>138000</v>
      </c>
      <c r="G3" s="3">
        <v>7.5</v>
      </c>
      <c r="H3" s="12">
        <v>44953</v>
      </c>
      <c r="I3" t="s">
        <v>17</v>
      </c>
      <c r="J3" t="s">
        <v>25</v>
      </c>
      <c r="K3" t="s">
        <v>26</v>
      </c>
      <c r="L3" s="2">
        <v>59600</v>
      </c>
    </row>
    <row r="4" spans="1:18">
      <c r="A4" t="s">
        <v>27</v>
      </c>
      <c r="B4" t="s">
        <v>28</v>
      </c>
      <c r="C4" t="s">
        <v>29</v>
      </c>
      <c r="D4" t="s">
        <v>30</v>
      </c>
      <c r="E4" t="s">
        <v>31</v>
      </c>
      <c r="F4" s="2">
        <v>2519000</v>
      </c>
      <c r="G4" s="3">
        <v>8.25</v>
      </c>
      <c r="H4" s="12">
        <v>44966</v>
      </c>
      <c r="I4" t="s">
        <v>17</v>
      </c>
      <c r="J4" t="s">
        <v>32</v>
      </c>
      <c r="K4" t="s">
        <v>33</v>
      </c>
      <c r="L4" s="2">
        <v>66900</v>
      </c>
    </row>
    <row r="5" spans="1:18">
      <c r="A5" t="s">
        <v>34</v>
      </c>
      <c r="B5" t="s">
        <v>35</v>
      </c>
      <c r="C5" t="s">
        <v>36</v>
      </c>
      <c r="D5" t="s">
        <v>37</v>
      </c>
      <c r="E5" t="s">
        <v>38</v>
      </c>
      <c r="F5" s="2">
        <v>864000</v>
      </c>
      <c r="G5" s="3">
        <v>10</v>
      </c>
      <c r="H5" s="12">
        <v>44979</v>
      </c>
      <c r="I5" t="s">
        <v>39</v>
      </c>
      <c r="J5" t="s">
        <v>18</v>
      </c>
      <c r="K5" t="s">
        <v>19</v>
      </c>
      <c r="L5" s="2">
        <v>74200</v>
      </c>
      <c r="O5" t="str">
        <f>VLOOKUP("LN0005", A3:L352,3,FALSE)</f>
        <v>Kamal</v>
      </c>
    </row>
    <row r="6" spans="1:18">
      <c r="A6" t="s">
        <v>40</v>
      </c>
      <c r="B6" t="s">
        <v>41</v>
      </c>
      <c r="C6" t="s">
        <v>42</v>
      </c>
      <c r="D6" t="s">
        <v>43</v>
      </c>
      <c r="E6" t="s">
        <v>31</v>
      </c>
      <c r="F6" s="2">
        <v>2865000</v>
      </c>
      <c r="G6" s="3">
        <v>7.5</v>
      </c>
      <c r="H6" s="12">
        <v>44992</v>
      </c>
      <c r="I6" t="s">
        <v>44</v>
      </c>
      <c r="J6" t="s">
        <v>25</v>
      </c>
      <c r="K6" t="s">
        <v>26</v>
      </c>
      <c r="L6" s="2">
        <v>81500</v>
      </c>
      <c r="R6" t="str">
        <f>_xlfn.IFNA(VLOOKUP("LN0003", A2:L351, 3, FALSE), "NOT FOUND")</f>
        <v>Kasun</v>
      </c>
    </row>
    <row r="7" spans="1:18">
      <c r="A7" t="s">
        <v>45</v>
      </c>
      <c r="B7" t="s">
        <v>46</v>
      </c>
      <c r="C7" t="s">
        <v>47</v>
      </c>
      <c r="D7" t="s">
        <v>48</v>
      </c>
      <c r="E7" t="s">
        <v>38</v>
      </c>
      <c r="F7" s="2">
        <v>1046000</v>
      </c>
      <c r="G7" s="3">
        <v>9.25</v>
      </c>
      <c r="H7" s="12">
        <v>45005</v>
      </c>
      <c r="I7" t="s">
        <v>44</v>
      </c>
      <c r="J7" t="s">
        <v>32</v>
      </c>
      <c r="K7" t="s">
        <v>33</v>
      </c>
      <c r="L7" s="2">
        <v>88800</v>
      </c>
      <c r="O7" t="str">
        <f>_xlfn.XLOOKUP("NL0005",A2:A351,C2:C351,"NOT FOUND")</f>
        <v>NOT FOUND</v>
      </c>
      <c r="R7" t="str">
        <f>_xlfn.XLOOKUP("LN0003", A:A, C:C, "NOT FOUND")</f>
        <v>Kasun</v>
      </c>
    </row>
    <row r="8" spans="1:18">
      <c r="A8" t="s">
        <v>49</v>
      </c>
      <c r="B8" t="s">
        <v>50</v>
      </c>
      <c r="C8" t="s">
        <v>51</v>
      </c>
      <c r="D8" t="s">
        <v>43</v>
      </c>
      <c r="E8" t="s">
        <v>52</v>
      </c>
      <c r="F8" s="2">
        <v>359000</v>
      </c>
      <c r="G8" s="3">
        <v>12.5</v>
      </c>
      <c r="H8" s="12">
        <v>45018</v>
      </c>
      <c r="I8" t="s">
        <v>44</v>
      </c>
      <c r="J8" t="s">
        <v>18</v>
      </c>
      <c r="K8" t="s">
        <v>19</v>
      </c>
      <c r="L8" s="2">
        <v>96100</v>
      </c>
    </row>
    <row r="9" spans="1:18">
      <c r="A9" t="s">
        <v>53</v>
      </c>
      <c r="B9" t="s">
        <v>54</v>
      </c>
      <c r="C9" t="s">
        <v>55</v>
      </c>
      <c r="D9" t="s">
        <v>48</v>
      </c>
      <c r="E9" t="s">
        <v>16</v>
      </c>
      <c r="F9" s="2">
        <v>676000</v>
      </c>
      <c r="G9" s="3">
        <v>10.25</v>
      </c>
      <c r="H9" s="12">
        <v>45031</v>
      </c>
      <c r="I9" t="s">
        <v>17</v>
      </c>
      <c r="J9" t="s">
        <v>25</v>
      </c>
      <c r="K9" t="s">
        <v>56</v>
      </c>
      <c r="L9" s="2">
        <v>103400</v>
      </c>
      <c r="O9" t="e">
        <f>VLOOKUP($B$1, Loan_Data!$A$2:$L$351, 3, FALSE)</f>
        <v>#N/A</v>
      </c>
      <c r="R9" t="str">
        <f>_xlfn.XLOOKUP("LN0005",A:A, C:C,"NOT FOUND")</f>
        <v>Kamal</v>
      </c>
    </row>
    <row r="10" spans="1:18">
      <c r="A10" t="s">
        <v>57</v>
      </c>
      <c r="B10" t="s">
        <v>58</v>
      </c>
      <c r="C10" t="s">
        <v>59</v>
      </c>
      <c r="D10" t="s">
        <v>60</v>
      </c>
      <c r="E10" t="s">
        <v>24</v>
      </c>
      <c r="F10" s="2">
        <v>271000</v>
      </c>
      <c r="G10" s="3">
        <v>8</v>
      </c>
      <c r="H10" s="12">
        <v>45044</v>
      </c>
      <c r="I10" t="s">
        <v>39</v>
      </c>
      <c r="J10" t="s">
        <v>18</v>
      </c>
      <c r="K10" t="s">
        <v>61</v>
      </c>
      <c r="L10" s="2">
        <v>110700</v>
      </c>
    </row>
    <row r="11" spans="1:18">
      <c r="A11" t="s">
        <v>62</v>
      </c>
      <c r="B11" t="s">
        <v>63</v>
      </c>
      <c r="C11" t="s">
        <v>64</v>
      </c>
      <c r="D11" t="s">
        <v>15</v>
      </c>
      <c r="E11" t="s">
        <v>16</v>
      </c>
      <c r="F11" s="2">
        <v>770000</v>
      </c>
      <c r="G11" s="3">
        <v>9.5</v>
      </c>
      <c r="H11" s="12">
        <v>45057</v>
      </c>
      <c r="I11" t="s">
        <v>17</v>
      </c>
      <c r="J11" t="s">
        <v>25</v>
      </c>
      <c r="K11" t="s">
        <v>55</v>
      </c>
      <c r="L11" s="2">
        <v>118000</v>
      </c>
    </row>
    <row r="12" spans="1:18">
      <c r="A12" t="s">
        <v>65</v>
      </c>
      <c r="B12" t="s">
        <v>66</v>
      </c>
      <c r="C12" t="s">
        <v>67</v>
      </c>
      <c r="D12" t="s">
        <v>23</v>
      </c>
      <c r="E12" t="s">
        <v>24</v>
      </c>
      <c r="F12" s="2">
        <v>309000</v>
      </c>
      <c r="G12" s="3">
        <v>7.25</v>
      </c>
      <c r="H12" s="12">
        <v>45070</v>
      </c>
      <c r="I12" t="s">
        <v>44</v>
      </c>
      <c r="J12" t="s">
        <v>32</v>
      </c>
      <c r="K12" t="s">
        <v>56</v>
      </c>
      <c r="L12" s="2">
        <v>125300</v>
      </c>
      <c r="O12" t="str">
        <f>VLOOKUP(A12,A1:L351,3,FALSE)</f>
        <v>Sachini</v>
      </c>
      <c r="R12" t="str">
        <f>IFERROR(_xlfn.XLOOKUP(N2,A2:A351,C2:C351),"Customer not found")</f>
        <v>Customer not found</v>
      </c>
    </row>
    <row r="13" spans="1:18">
      <c r="A13" t="s">
        <v>68</v>
      </c>
      <c r="B13" t="s">
        <v>69</v>
      </c>
      <c r="C13" t="s">
        <v>70</v>
      </c>
      <c r="D13" t="s">
        <v>30</v>
      </c>
      <c r="E13" t="s">
        <v>31</v>
      </c>
      <c r="F13" s="2">
        <v>4076000</v>
      </c>
      <c r="G13" s="3">
        <v>8</v>
      </c>
      <c r="H13" s="12">
        <v>45083</v>
      </c>
      <c r="I13" t="s">
        <v>44</v>
      </c>
      <c r="J13" t="s">
        <v>18</v>
      </c>
      <c r="K13" t="s">
        <v>61</v>
      </c>
      <c r="L13" s="2">
        <v>132600</v>
      </c>
      <c r="O13" t="str">
        <f>VLOOKUP("LN0005",A1:L351,3,FALSE)</f>
        <v>Kamal</v>
      </c>
      <c r="R13" t="str">
        <f>IFERROR(_xlfn.XLOOKUP("LN0004",A2:A351,C2:C351),"Customer not found")</f>
        <v>Madhavi</v>
      </c>
    </row>
    <row r="14" spans="1:18">
      <c r="A14" t="s">
        <v>71</v>
      </c>
      <c r="B14" t="s">
        <v>72</v>
      </c>
      <c r="C14" t="s">
        <v>73</v>
      </c>
      <c r="D14" t="s">
        <v>37</v>
      </c>
      <c r="E14" t="s">
        <v>38</v>
      </c>
      <c r="F14" s="2">
        <v>1683000</v>
      </c>
      <c r="G14" s="3">
        <v>9.75</v>
      </c>
      <c r="H14" s="12">
        <v>45096</v>
      </c>
      <c r="I14" t="s">
        <v>44</v>
      </c>
      <c r="J14" t="s">
        <v>25</v>
      </c>
      <c r="K14" t="s">
        <v>55</v>
      </c>
      <c r="L14" s="2">
        <v>139900</v>
      </c>
      <c r="R14" t="str">
        <f>IFERROR(_xlfn.XLOOKUP("LN0450",A2:A351,C2:C351),"Customer not found")</f>
        <v>Customer not found</v>
      </c>
    </row>
    <row r="15" spans="1:18">
      <c r="A15" t="s">
        <v>74</v>
      </c>
      <c r="B15" t="s">
        <v>75</v>
      </c>
      <c r="C15" t="s">
        <v>76</v>
      </c>
      <c r="D15" t="s">
        <v>30</v>
      </c>
      <c r="E15" t="s">
        <v>52</v>
      </c>
      <c r="F15" s="2">
        <v>618000</v>
      </c>
      <c r="G15" s="3">
        <v>13</v>
      </c>
      <c r="H15" s="12">
        <v>45109</v>
      </c>
      <c r="I15" t="s">
        <v>39</v>
      </c>
      <c r="J15" t="s">
        <v>32</v>
      </c>
      <c r="K15" t="s">
        <v>56</v>
      </c>
      <c r="L15" s="2">
        <v>147200</v>
      </c>
      <c r="O15" t="str">
        <f>VLOOKUP(A115,A1:L351,3,FALSE)</f>
        <v>Sunil</v>
      </c>
      <c r="R15" t="s">
        <v>776</v>
      </c>
    </row>
    <row r="16" spans="1:18">
      <c r="A16" t="s">
        <v>77</v>
      </c>
      <c r="B16" t="s">
        <v>78</v>
      </c>
      <c r="C16" t="s">
        <v>79</v>
      </c>
      <c r="D16" t="s">
        <v>37</v>
      </c>
      <c r="E16" t="s">
        <v>38</v>
      </c>
      <c r="F16" s="2">
        <v>1865000</v>
      </c>
      <c r="G16" s="3">
        <v>9</v>
      </c>
      <c r="H16" s="12">
        <v>45122</v>
      </c>
      <c r="I16" t="s">
        <v>39</v>
      </c>
      <c r="J16" t="s">
        <v>18</v>
      </c>
      <c r="K16" t="s">
        <v>61</v>
      </c>
      <c r="L16" s="2">
        <v>154500</v>
      </c>
      <c r="O16" t="str">
        <f>_xlfn.IFNA(VLOOKUP("LN0003", A2:L351, 3, FALSE), "NOT FOUND")</f>
        <v>Kasun</v>
      </c>
      <c r="R16">
        <f>COUNTIFS(A1:L351, "Medium")</f>
        <v>117</v>
      </c>
    </row>
    <row r="17" spans="1:18">
      <c r="A17" t="s">
        <v>80</v>
      </c>
      <c r="B17" t="s">
        <v>81</v>
      </c>
      <c r="C17" t="s">
        <v>82</v>
      </c>
      <c r="D17" t="s">
        <v>43</v>
      </c>
      <c r="E17" t="s">
        <v>52</v>
      </c>
      <c r="F17" s="2">
        <v>692000</v>
      </c>
      <c r="G17" s="3">
        <v>12.25</v>
      </c>
      <c r="H17" s="12">
        <v>45135</v>
      </c>
      <c r="I17" t="s">
        <v>17</v>
      </c>
      <c r="J17" t="s">
        <v>25</v>
      </c>
      <c r="K17" t="s">
        <v>33</v>
      </c>
      <c r="L17" s="2">
        <v>161800</v>
      </c>
      <c r="O17" t="str">
        <f>_xlfn.IFNA(VLOOKUP("LN0400", A2:L351, 3, FALSE), "NOT FOUND")</f>
        <v>NOT FOUND</v>
      </c>
      <c r="R17">
        <f>COUNTIFS(D:D, "Galle", I:I, "Overdue")</f>
        <v>17</v>
      </c>
    </row>
    <row r="18" spans="1:18">
      <c r="A18" t="s">
        <v>83</v>
      </c>
      <c r="B18" t="s">
        <v>84</v>
      </c>
      <c r="C18" t="s">
        <v>85</v>
      </c>
      <c r="D18" t="s">
        <v>48</v>
      </c>
      <c r="E18" t="s">
        <v>16</v>
      </c>
      <c r="F18" s="2">
        <v>1099000</v>
      </c>
      <c r="G18" s="3">
        <v>10</v>
      </c>
      <c r="H18" s="12">
        <v>45148</v>
      </c>
      <c r="I18" t="s">
        <v>39</v>
      </c>
      <c r="J18" t="s">
        <v>32</v>
      </c>
      <c r="K18" t="s">
        <v>19</v>
      </c>
      <c r="L18" s="2">
        <v>169100</v>
      </c>
      <c r="R18">
        <f>COUNTIFS(A1:L351,"Overdue",A1:L351," Colombo")</f>
        <v>0</v>
      </c>
    </row>
    <row r="19" spans="1:18">
      <c r="A19" t="s">
        <v>86</v>
      </c>
      <c r="B19" t="s">
        <v>87</v>
      </c>
      <c r="C19" t="s">
        <v>88</v>
      </c>
      <c r="D19" t="s">
        <v>60</v>
      </c>
      <c r="E19" t="s">
        <v>24</v>
      </c>
      <c r="F19" s="2">
        <v>442000</v>
      </c>
      <c r="G19" s="3">
        <v>7.75</v>
      </c>
      <c r="H19" s="12">
        <v>45161</v>
      </c>
      <c r="I19" t="s">
        <v>17</v>
      </c>
      <c r="J19" t="s">
        <v>25</v>
      </c>
      <c r="K19" t="s">
        <v>26</v>
      </c>
      <c r="L19" s="2">
        <v>176400</v>
      </c>
    </row>
    <row r="20" spans="1:18">
      <c r="A20" t="s">
        <v>89</v>
      </c>
      <c r="B20" t="s">
        <v>90</v>
      </c>
      <c r="C20" t="s">
        <v>91</v>
      </c>
      <c r="D20" t="s">
        <v>15</v>
      </c>
      <c r="E20" t="s">
        <v>31</v>
      </c>
      <c r="F20" s="2">
        <v>5287000</v>
      </c>
      <c r="G20" s="3">
        <v>8.5</v>
      </c>
      <c r="H20" s="12">
        <v>45174</v>
      </c>
      <c r="I20" t="s">
        <v>39</v>
      </c>
      <c r="J20" t="s">
        <v>32</v>
      </c>
      <c r="K20" t="s">
        <v>33</v>
      </c>
      <c r="L20" s="2">
        <v>183700</v>
      </c>
      <c r="O20" t="str">
        <f>_xlfn.XLOOKUP("LN0400", A:A, C:C, "NOT FOUND")</f>
        <v>NOT FOUND</v>
      </c>
    </row>
    <row r="21" spans="1:18">
      <c r="A21" t="s">
        <v>92</v>
      </c>
      <c r="B21" t="s">
        <v>93</v>
      </c>
      <c r="C21" t="s">
        <v>14</v>
      </c>
      <c r="D21" t="s">
        <v>23</v>
      </c>
      <c r="E21" t="s">
        <v>24</v>
      </c>
      <c r="F21" s="2">
        <v>480000</v>
      </c>
      <c r="G21" s="3">
        <v>7</v>
      </c>
      <c r="H21" s="12">
        <v>45187</v>
      </c>
      <c r="I21" t="s">
        <v>39</v>
      </c>
      <c r="J21" t="s">
        <v>18</v>
      </c>
      <c r="K21" t="s">
        <v>19</v>
      </c>
      <c r="L21" s="2">
        <v>191000</v>
      </c>
    </row>
    <row r="22" spans="1:18">
      <c r="A22" t="s">
        <v>94</v>
      </c>
      <c r="B22" t="s">
        <v>95</v>
      </c>
      <c r="C22" t="s">
        <v>22</v>
      </c>
      <c r="D22" t="s">
        <v>15</v>
      </c>
      <c r="E22" t="s">
        <v>31</v>
      </c>
      <c r="F22" s="2">
        <v>5633000</v>
      </c>
      <c r="G22" s="3">
        <v>7.75</v>
      </c>
      <c r="H22" s="12">
        <v>45200</v>
      </c>
      <c r="I22" t="s">
        <v>44</v>
      </c>
      <c r="J22" t="s">
        <v>25</v>
      </c>
      <c r="K22" t="s">
        <v>26</v>
      </c>
      <c r="L22" s="2">
        <v>198300</v>
      </c>
      <c r="R22">
        <f>COUNTIFS(D:D, "Galle")</f>
        <v>50</v>
      </c>
    </row>
    <row r="23" spans="1:18">
      <c r="A23" t="s">
        <v>96</v>
      </c>
      <c r="B23" t="s">
        <v>97</v>
      </c>
      <c r="C23" t="s">
        <v>55</v>
      </c>
      <c r="D23" t="s">
        <v>23</v>
      </c>
      <c r="E23" t="s">
        <v>38</v>
      </c>
      <c r="F23" s="2">
        <v>2502000</v>
      </c>
      <c r="G23" s="3">
        <v>9.5</v>
      </c>
      <c r="H23" s="12">
        <v>45213</v>
      </c>
      <c r="I23" t="s">
        <v>39</v>
      </c>
      <c r="J23" t="s">
        <v>32</v>
      </c>
      <c r="K23" t="s">
        <v>33</v>
      </c>
      <c r="L23" s="2">
        <v>205600</v>
      </c>
      <c r="O23" t="str" cm="1">
        <f t="array" ref="O23">_xlfn.XLOOKUP("LN0210",A:A,C:C,NOT FOUND)</f>
        <v>Ravindu</v>
      </c>
    </row>
    <row r="24" spans="1:18">
      <c r="A24" t="s">
        <v>98</v>
      </c>
      <c r="B24" t="s">
        <v>99</v>
      </c>
      <c r="C24" t="s">
        <v>59</v>
      </c>
      <c r="D24" t="s">
        <v>30</v>
      </c>
      <c r="E24" t="s">
        <v>52</v>
      </c>
      <c r="F24" s="2">
        <v>951000</v>
      </c>
      <c r="G24" s="3">
        <v>12.75</v>
      </c>
      <c r="H24" s="12">
        <v>45226</v>
      </c>
      <c r="I24" t="s">
        <v>44</v>
      </c>
      <c r="J24" t="s">
        <v>18</v>
      </c>
      <c r="K24" t="s">
        <v>19</v>
      </c>
      <c r="L24" s="2">
        <v>212900</v>
      </c>
      <c r="O24" t="str">
        <f>_xlfn.XLOOKUP("LN0017",A:A,I:I,"NOT FOUND")</f>
        <v>Active</v>
      </c>
    </row>
    <row r="25" spans="1:18">
      <c r="A25" t="s">
        <v>100</v>
      </c>
      <c r="B25" t="s">
        <v>101</v>
      </c>
      <c r="C25" t="s">
        <v>64</v>
      </c>
      <c r="D25" t="s">
        <v>37</v>
      </c>
      <c r="E25" t="s">
        <v>16</v>
      </c>
      <c r="F25" s="2">
        <v>1428000</v>
      </c>
      <c r="G25" s="3">
        <v>10.5</v>
      </c>
      <c r="H25" s="12">
        <v>45239</v>
      </c>
      <c r="I25" t="s">
        <v>17</v>
      </c>
      <c r="J25" t="s">
        <v>25</v>
      </c>
      <c r="K25" t="s">
        <v>56</v>
      </c>
      <c r="L25" s="2">
        <v>220200</v>
      </c>
    </row>
    <row r="26" spans="1:18">
      <c r="A26" t="s">
        <v>102</v>
      </c>
      <c r="B26" t="s">
        <v>103</v>
      </c>
      <c r="C26" t="s">
        <v>104</v>
      </c>
      <c r="D26" t="s">
        <v>43</v>
      </c>
      <c r="E26" t="s">
        <v>52</v>
      </c>
      <c r="F26" s="2">
        <v>1025000</v>
      </c>
      <c r="G26" s="3">
        <v>12</v>
      </c>
      <c r="H26" s="12">
        <v>45252</v>
      </c>
      <c r="I26" t="s">
        <v>44</v>
      </c>
      <c r="J26" t="s">
        <v>32</v>
      </c>
      <c r="K26" t="s">
        <v>61</v>
      </c>
      <c r="L26" s="2">
        <v>227500</v>
      </c>
      <c r="R26">
        <f>COUNTIFS(D:D, "Galle", I:I, "Overdue")</f>
        <v>17</v>
      </c>
    </row>
    <row r="27" spans="1:18">
      <c r="A27" t="s">
        <v>105</v>
      </c>
      <c r="B27" t="s">
        <v>106</v>
      </c>
      <c r="C27" t="s">
        <v>107</v>
      </c>
      <c r="D27" t="s">
        <v>48</v>
      </c>
      <c r="E27" t="s">
        <v>16</v>
      </c>
      <c r="F27" s="2">
        <v>1522000</v>
      </c>
      <c r="G27" s="3">
        <v>9.75</v>
      </c>
      <c r="H27" s="12">
        <v>45265</v>
      </c>
      <c r="I27" t="s">
        <v>17</v>
      </c>
      <c r="J27" t="s">
        <v>18</v>
      </c>
      <c r="K27" t="s">
        <v>55</v>
      </c>
      <c r="L27" s="2">
        <v>234800</v>
      </c>
    </row>
    <row r="28" spans="1:18">
      <c r="A28" t="s">
        <v>108</v>
      </c>
      <c r="B28" t="s">
        <v>109</v>
      </c>
      <c r="C28" t="s">
        <v>110</v>
      </c>
      <c r="D28" t="s">
        <v>60</v>
      </c>
      <c r="E28" t="s">
        <v>24</v>
      </c>
      <c r="F28" s="2">
        <v>613000</v>
      </c>
      <c r="G28" s="3">
        <v>7.5</v>
      </c>
      <c r="H28" s="12">
        <v>45278</v>
      </c>
      <c r="I28" t="s">
        <v>39</v>
      </c>
      <c r="J28" t="s">
        <v>32</v>
      </c>
      <c r="K28" t="s">
        <v>56</v>
      </c>
      <c r="L28" s="2">
        <v>242100</v>
      </c>
    </row>
    <row r="29" spans="1:18">
      <c r="A29" t="s">
        <v>111</v>
      </c>
      <c r="B29" t="s">
        <v>112</v>
      </c>
      <c r="C29" t="s">
        <v>113</v>
      </c>
      <c r="D29" t="s">
        <v>48</v>
      </c>
      <c r="E29" t="s">
        <v>31</v>
      </c>
      <c r="F29" s="2">
        <v>6844000</v>
      </c>
      <c r="G29" s="3">
        <v>8.25</v>
      </c>
      <c r="H29" s="12">
        <v>45291</v>
      </c>
      <c r="I29" t="s">
        <v>44</v>
      </c>
      <c r="J29" t="s">
        <v>18</v>
      </c>
      <c r="K29" t="s">
        <v>61</v>
      </c>
      <c r="L29" s="2">
        <v>249400</v>
      </c>
    </row>
    <row r="30" spans="1:18">
      <c r="A30" t="s">
        <v>114</v>
      </c>
      <c r="B30" t="s">
        <v>115</v>
      </c>
      <c r="C30" t="s">
        <v>116</v>
      </c>
      <c r="D30" t="s">
        <v>60</v>
      </c>
      <c r="E30" t="s">
        <v>38</v>
      </c>
      <c r="F30" s="2">
        <v>3139000</v>
      </c>
      <c r="G30" s="3">
        <v>10</v>
      </c>
      <c r="H30" s="12">
        <v>45304</v>
      </c>
      <c r="I30" t="s">
        <v>44</v>
      </c>
      <c r="J30" t="s">
        <v>25</v>
      </c>
      <c r="K30" t="s">
        <v>55</v>
      </c>
      <c r="L30" s="2">
        <v>256700</v>
      </c>
      <c r="R30" s="12">
        <f ca="1">TODAY()</f>
        <v>46313</v>
      </c>
    </row>
    <row r="31" spans="1:18">
      <c r="A31" t="s">
        <v>117</v>
      </c>
      <c r="B31" t="s">
        <v>118</v>
      </c>
      <c r="C31" t="s">
        <v>67</v>
      </c>
      <c r="D31" t="s">
        <v>15</v>
      </c>
      <c r="E31" t="s">
        <v>31</v>
      </c>
      <c r="F31" s="2">
        <v>7190000</v>
      </c>
      <c r="G31" s="3">
        <v>7.5</v>
      </c>
      <c r="H31" s="12">
        <v>45317</v>
      </c>
      <c r="I31" t="s">
        <v>44</v>
      </c>
      <c r="J31" t="s">
        <v>32</v>
      </c>
      <c r="K31" t="s">
        <v>56</v>
      </c>
      <c r="L31" s="2">
        <v>264000</v>
      </c>
    </row>
    <row r="32" spans="1:18">
      <c r="A32" t="s">
        <v>119</v>
      </c>
      <c r="B32" t="s">
        <v>120</v>
      </c>
      <c r="C32" t="s">
        <v>70</v>
      </c>
      <c r="D32" t="s">
        <v>23</v>
      </c>
      <c r="E32" t="s">
        <v>38</v>
      </c>
      <c r="F32" s="2">
        <v>3321000</v>
      </c>
      <c r="G32" s="3">
        <v>9.25</v>
      </c>
      <c r="H32" s="12">
        <v>45330</v>
      </c>
      <c r="I32" t="s">
        <v>17</v>
      </c>
      <c r="J32" t="s">
        <v>18</v>
      </c>
      <c r="K32" t="s">
        <v>61</v>
      </c>
      <c r="L32" s="2">
        <v>271300</v>
      </c>
    </row>
    <row r="33" spans="1:12">
      <c r="A33" t="s">
        <v>121</v>
      </c>
      <c r="B33" t="s">
        <v>122</v>
      </c>
      <c r="C33" t="s">
        <v>73</v>
      </c>
      <c r="D33" t="s">
        <v>30</v>
      </c>
      <c r="E33" t="s">
        <v>52</v>
      </c>
      <c r="F33" s="2">
        <v>1284000</v>
      </c>
      <c r="G33" s="3">
        <v>12.5</v>
      </c>
      <c r="H33" s="12">
        <v>45343</v>
      </c>
      <c r="I33" t="s">
        <v>17</v>
      </c>
      <c r="J33" t="s">
        <v>25</v>
      </c>
      <c r="K33" t="s">
        <v>33</v>
      </c>
      <c r="L33" s="2">
        <v>278600</v>
      </c>
    </row>
    <row r="34" spans="1:12">
      <c r="A34" t="s">
        <v>123</v>
      </c>
      <c r="B34" t="s">
        <v>124</v>
      </c>
      <c r="C34" t="s">
        <v>91</v>
      </c>
      <c r="D34" t="s">
        <v>37</v>
      </c>
      <c r="E34" t="s">
        <v>16</v>
      </c>
      <c r="F34" s="2">
        <v>1851000</v>
      </c>
      <c r="G34" s="3">
        <v>10.25</v>
      </c>
      <c r="H34" s="12">
        <v>45356</v>
      </c>
      <c r="I34" t="s">
        <v>17</v>
      </c>
      <c r="J34" t="s">
        <v>32</v>
      </c>
      <c r="K34" t="s">
        <v>19</v>
      </c>
      <c r="L34" s="2">
        <v>285900</v>
      </c>
    </row>
    <row r="35" spans="1:12">
      <c r="A35" t="s">
        <v>125</v>
      </c>
      <c r="B35" t="s">
        <v>126</v>
      </c>
      <c r="C35" t="s">
        <v>14</v>
      </c>
      <c r="D35" t="s">
        <v>43</v>
      </c>
      <c r="E35" t="s">
        <v>24</v>
      </c>
      <c r="F35" s="2">
        <v>746000</v>
      </c>
      <c r="G35" s="3">
        <v>8</v>
      </c>
      <c r="H35" s="12">
        <v>45369</v>
      </c>
      <c r="I35" t="s">
        <v>39</v>
      </c>
      <c r="J35" t="s">
        <v>18</v>
      </c>
      <c r="K35" t="s">
        <v>26</v>
      </c>
      <c r="L35" s="2">
        <v>293200</v>
      </c>
    </row>
    <row r="36" spans="1:12">
      <c r="A36" t="s">
        <v>127</v>
      </c>
      <c r="B36" t="s">
        <v>128</v>
      </c>
      <c r="C36" t="s">
        <v>22</v>
      </c>
      <c r="D36" t="s">
        <v>37</v>
      </c>
      <c r="E36" t="s">
        <v>16</v>
      </c>
      <c r="F36" s="2">
        <v>1945000</v>
      </c>
      <c r="G36" s="3">
        <v>9.5</v>
      </c>
      <c r="H36" s="12">
        <v>45382</v>
      </c>
      <c r="I36" t="s">
        <v>39</v>
      </c>
      <c r="J36" t="s">
        <v>25</v>
      </c>
      <c r="K36" t="s">
        <v>33</v>
      </c>
      <c r="L36" s="2">
        <v>300500</v>
      </c>
    </row>
    <row r="37" spans="1:12">
      <c r="A37" t="s">
        <v>129</v>
      </c>
      <c r="B37" t="s">
        <v>130</v>
      </c>
      <c r="C37" t="s">
        <v>29</v>
      </c>
      <c r="D37" t="s">
        <v>43</v>
      </c>
      <c r="E37" t="s">
        <v>24</v>
      </c>
      <c r="F37" s="2">
        <v>784000</v>
      </c>
      <c r="G37" s="3">
        <v>7.25</v>
      </c>
      <c r="H37" s="12">
        <v>45395</v>
      </c>
      <c r="I37" t="s">
        <v>17</v>
      </c>
      <c r="J37" t="s">
        <v>18</v>
      </c>
      <c r="K37" t="s">
        <v>19</v>
      </c>
      <c r="L37" s="2">
        <v>307800</v>
      </c>
    </row>
    <row r="38" spans="1:12">
      <c r="A38" t="s">
        <v>131</v>
      </c>
      <c r="B38" t="s">
        <v>132</v>
      </c>
      <c r="C38" t="s">
        <v>36</v>
      </c>
      <c r="D38" t="s">
        <v>48</v>
      </c>
      <c r="E38" t="s">
        <v>31</v>
      </c>
      <c r="F38" s="2">
        <v>8401000</v>
      </c>
      <c r="G38" s="3">
        <v>8</v>
      </c>
      <c r="H38" s="12">
        <v>45408</v>
      </c>
      <c r="I38" t="s">
        <v>44</v>
      </c>
      <c r="J38" t="s">
        <v>25</v>
      </c>
      <c r="K38" t="s">
        <v>26</v>
      </c>
      <c r="L38" s="2">
        <v>315100</v>
      </c>
    </row>
    <row r="39" spans="1:12">
      <c r="A39" t="s">
        <v>133</v>
      </c>
      <c r="B39" t="s">
        <v>134</v>
      </c>
      <c r="C39" t="s">
        <v>42</v>
      </c>
      <c r="D39" t="s">
        <v>60</v>
      </c>
      <c r="E39" t="s">
        <v>38</v>
      </c>
      <c r="F39" s="2">
        <v>3958000</v>
      </c>
      <c r="G39" s="3">
        <v>9.75</v>
      </c>
      <c r="H39" s="12">
        <v>45421</v>
      </c>
      <c r="I39" t="s">
        <v>17</v>
      </c>
      <c r="J39" t="s">
        <v>32</v>
      </c>
      <c r="K39" t="s">
        <v>33</v>
      </c>
      <c r="L39" s="2">
        <v>322400</v>
      </c>
    </row>
    <row r="40" spans="1:12">
      <c r="A40" t="s">
        <v>135</v>
      </c>
      <c r="B40" t="s">
        <v>136</v>
      </c>
      <c r="C40" t="s">
        <v>47</v>
      </c>
      <c r="D40" t="s">
        <v>15</v>
      </c>
      <c r="E40" t="s">
        <v>52</v>
      </c>
      <c r="F40" s="2">
        <v>1543000</v>
      </c>
      <c r="G40" s="3">
        <v>13</v>
      </c>
      <c r="H40" s="12">
        <v>45434</v>
      </c>
      <c r="I40" t="s">
        <v>39</v>
      </c>
      <c r="J40" t="s">
        <v>18</v>
      </c>
      <c r="K40" t="s">
        <v>19</v>
      </c>
      <c r="L40" s="2">
        <v>329700</v>
      </c>
    </row>
    <row r="41" spans="1:12">
      <c r="A41" t="s">
        <v>137</v>
      </c>
      <c r="B41" t="s">
        <v>138</v>
      </c>
      <c r="C41" t="s">
        <v>51</v>
      </c>
      <c r="D41" t="s">
        <v>23</v>
      </c>
      <c r="E41" t="s">
        <v>38</v>
      </c>
      <c r="F41" s="2">
        <v>4140000</v>
      </c>
      <c r="G41" s="3">
        <v>9</v>
      </c>
      <c r="H41" s="12">
        <v>45447</v>
      </c>
      <c r="I41" t="s">
        <v>17</v>
      </c>
      <c r="J41" t="s">
        <v>25</v>
      </c>
      <c r="K41" t="s">
        <v>56</v>
      </c>
      <c r="L41" s="2">
        <v>337000</v>
      </c>
    </row>
    <row r="42" spans="1:12">
      <c r="A42" t="s">
        <v>139</v>
      </c>
      <c r="B42" t="s">
        <v>140</v>
      </c>
      <c r="C42" t="s">
        <v>55</v>
      </c>
      <c r="D42" t="s">
        <v>30</v>
      </c>
      <c r="E42" t="s">
        <v>52</v>
      </c>
      <c r="F42" s="2">
        <v>1617000</v>
      </c>
      <c r="G42" s="3">
        <v>12.25</v>
      </c>
      <c r="H42" s="12">
        <v>45460</v>
      </c>
      <c r="I42" t="s">
        <v>44</v>
      </c>
      <c r="J42" t="s">
        <v>32</v>
      </c>
      <c r="K42" t="s">
        <v>61</v>
      </c>
      <c r="L42" s="2">
        <v>344300</v>
      </c>
    </row>
    <row r="43" spans="1:12">
      <c r="A43" t="s">
        <v>141</v>
      </c>
      <c r="B43" t="s">
        <v>142</v>
      </c>
      <c r="C43" t="s">
        <v>59</v>
      </c>
      <c r="D43" t="s">
        <v>23</v>
      </c>
      <c r="E43" t="s">
        <v>16</v>
      </c>
      <c r="F43" s="2">
        <v>2274000</v>
      </c>
      <c r="G43" s="3">
        <v>10</v>
      </c>
      <c r="H43" s="12">
        <v>45473</v>
      </c>
      <c r="I43" t="s">
        <v>44</v>
      </c>
      <c r="J43" t="s">
        <v>18</v>
      </c>
      <c r="K43" t="s">
        <v>55</v>
      </c>
      <c r="L43" s="2">
        <v>351600</v>
      </c>
    </row>
    <row r="44" spans="1:12">
      <c r="A44" t="s">
        <v>143</v>
      </c>
      <c r="B44" t="s">
        <v>144</v>
      </c>
      <c r="C44" t="s">
        <v>64</v>
      </c>
      <c r="D44" t="s">
        <v>30</v>
      </c>
      <c r="E44" t="s">
        <v>24</v>
      </c>
      <c r="F44" s="2">
        <v>917000</v>
      </c>
      <c r="G44" s="3">
        <v>7.75</v>
      </c>
      <c r="H44" s="12">
        <v>45486</v>
      </c>
      <c r="I44" t="s">
        <v>39</v>
      </c>
      <c r="J44" t="s">
        <v>25</v>
      </c>
      <c r="K44" t="s">
        <v>56</v>
      </c>
      <c r="L44" s="2">
        <v>358900</v>
      </c>
    </row>
    <row r="45" spans="1:12">
      <c r="A45" t="s">
        <v>145</v>
      </c>
      <c r="B45" t="s">
        <v>146</v>
      </c>
      <c r="C45" t="s">
        <v>67</v>
      </c>
      <c r="D45" t="s">
        <v>37</v>
      </c>
      <c r="E45" t="s">
        <v>31</v>
      </c>
      <c r="F45" s="2">
        <v>9612000</v>
      </c>
      <c r="G45" s="3">
        <v>8.5</v>
      </c>
      <c r="H45" s="12">
        <v>45499</v>
      </c>
      <c r="I45" t="s">
        <v>39</v>
      </c>
      <c r="J45" t="s">
        <v>32</v>
      </c>
      <c r="K45" t="s">
        <v>61</v>
      </c>
      <c r="L45" s="2">
        <v>366200</v>
      </c>
    </row>
    <row r="46" spans="1:12">
      <c r="A46" t="s">
        <v>147</v>
      </c>
      <c r="B46" t="s">
        <v>148</v>
      </c>
      <c r="C46" t="s">
        <v>70</v>
      </c>
      <c r="D46" t="s">
        <v>43</v>
      </c>
      <c r="E46" t="s">
        <v>24</v>
      </c>
      <c r="F46" s="2">
        <v>955000</v>
      </c>
      <c r="G46" s="3">
        <v>7</v>
      </c>
      <c r="H46" s="12">
        <v>45512</v>
      </c>
      <c r="I46" t="s">
        <v>44</v>
      </c>
      <c r="J46" t="s">
        <v>25</v>
      </c>
      <c r="K46" t="s">
        <v>55</v>
      </c>
      <c r="L46" s="2">
        <v>373500</v>
      </c>
    </row>
    <row r="47" spans="1:12">
      <c r="A47" t="s">
        <v>149</v>
      </c>
      <c r="B47" t="s">
        <v>150</v>
      </c>
      <c r="C47" t="s">
        <v>73</v>
      </c>
      <c r="D47" t="s">
        <v>48</v>
      </c>
      <c r="E47" t="s">
        <v>31</v>
      </c>
      <c r="F47" s="2">
        <v>9958000</v>
      </c>
      <c r="G47" s="3">
        <v>7.75</v>
      </c>
      <c r="H47" s="12">
        <v>45525</v>
      </c>
      <c r="I47" t="s">
        <v>44</v>
      </c>
      <c r="J47" t="s">
        <v>32</v>
      </c>
      <c r="K47" t="s">
        <v>56</v>
      </c>
      <c r="L47" s="2">
        <v>380800</v>
      </c>
    </row>
    <row r="48" spans="1:12">
      <c r="A48" t="s">
        <v>151</v>
      </c>
      <c r="B48" t="s">
        <v>152</v>
      </c>
      <c r="C48" t="s">
        <v>76</v>
      </c>
      <c r="D48" t="s">
        <v>60</v>
      </c>
      <c r="E48" t="s">
        <v>38</v>
      </c>
      <c r="F48" s="2">
        <v>4777000</v>
      </c>
      <c r="G48" s="3">
        <v>9.5</v>
      </c>
      <c r="H48" s="12">
        <v>45538</v>
      </c>
      <c r="I48" t="s">
        <v>44</v>
      </c>
      <c r="J48" t="s">
        <v>18</v>
      </c>
      <c r="K48" t="s">
        <v>61</v>
      </c>
      <c r="L48" s="2">
        <v>388100</v>
      </c>
    </row>
    <row r="49" spans="1:12">
      <c r="A49" t="s">
        <v>153</v>
      </c>
      <c r="B49" t="s">
        <v>154</v>
      </c>
      <c r="C49" t="s">
        <v>79</v>
      </c>
      <c r="D49" t="s">
        <v>15</v>
      </c>
      <c r="E49" t="s">
        <v>52</v>
      </c>
      <c r="F49" s="2">
        <v>1876000</v>
      </c>
      <c r="G49" s="3">
        <v>12.75</v>
      </c>
      <c r="H49" s="12">
        <v>45551</v>
      </c>
      <c r="I49" t="s">
        <v>17</v>
      </c>
      <c r="J49" t="s">
        <v>25</v>
      </c>
      <c r="K49" t="s">
        <v>33</v>
      </c>
      <c r="L49" s="2">
        <v>395400</v>
      </c>
    </row>
    <row r="50" spans="1:12">
      <c r="A50" t="s">
        <v>155</v>
      </c>
      <c r="B50" t="s">
        <v>156</v>
      </c>
      <c r="C50" t="s">
        <v>82</v>
      </c>
      <c r="D50" t="s">
        <v>60</v>
      </c>
      <c r="E50" t="s">
        <v>16</v>
      </c>
      <c r="F50" s="2">
        <v>2603000</v>
      </c>
      <c r="G50" s="3">
        <v>10.5</v>
      </c>
      <c r="H50" s="12">
        <v>45564</v>
      </c>
      <c r="I50" t="s">
        <v>39</v>
      </c>
      <c r="J50" t="s">
        <v>32</v>
      </c>
      <c r="K50" t="s">
        <v>19</v>
      </c>
      <c r="L50" s="2">
        <v>402700</v>
      </c>
    </row>
    <row r="51" spans="1:12">
      <c r="A51" t="s">
        <v>157</v>
      </c>
      <c r="B51" t="s">
        <v>158</v>
      </c>
      <c r="C51" t="s">
        <v>85</v>
      </c>
      <c r="D51" t="s">
        <v>15</v>
      </c>
      <c r="E51" t="s">
        <v>52</v>
      </c>
      <c r="F51" s="2">
        <v>1950000</v>
      </c>
      <c r="G51" s="3">
        <v>12</v>
      </c>
      <c r="H51" s="12">
        <v>45577</v>
      </c>
      <c r="I51" t="s">
        <v>39</v>
      </c>
      <c r="J51" t="s">
        <v>18</v>
      </c>
      <c r="K51" t="s">
        <v>26</v>
      </c>
      <c r="L51" s="2">
        <v>410000</v>
      </c>
    </row>
    <row r="52" spans="1:12">
      <c r="A52" t="s">
        <v>159</v>
      </c>
      <c r="B52" t="s">
        <v>160</v>
      </c>
      <c r="C52" t="s">
        <v>88</v>
      </c>
      <c r="D52" t="s">
        <v>23</v>
      </c>
      <c r="E52" t="s">
        <v>16</v>
      </c>
      <c r="F52" s="2">
        <v>2697000</v>
      </c>
      <c r="G52" s="3">
        <v>9.75</v>
      </c>
      <c r="H52" s="12">
        <v>45590</v>
      </c>
      <c r="I52" t="s">
        <v>39</v>
      </c>
      <c r="J52" t="s">
        <v>25</v>
      </c>
      <c r="K52" t="s">
        <v>33</v>
      </c>
      <c r="L52" s="2">
        <v>417300</v>
      </c>
    </row>
    <row r="53" spans="1:12">
      <c r="A53" t="s">
        <v>161</v>
      </c>
      <c r="B53" t="s">
        <v>162</v>
      </c>
      <c r="C53" t="s">
        <v>91</v>
      </c>
      <c r="D53" t="s">
        <v>30</v>
      </c>
      <c r="E53" t="s">
        <v>24</v>
      </c>
      <c r="F53" s="2">
        <v>1088000</v>
      </c>
      <c r="G53" s="3">
        <v>7.5</v>
      </c>
      <c r="H53" s="12">
        <v>45603</v>
      </c>
      <c r="I53" t="s">
        <v>39</v>
      </c>
      <c r="J53" t="s">
        <v>32</v>
      </c>
      <c r="K53" t="s">
        <v>19</v>
      </c>
      <c r="L53" s="2">
        <v>424600</v>
      </c>
    </row>
    <row r="54" spans="1:12">
      <c r="A54" t="s">
        <v>163</v>
      </c>
      <c r="B54" t="s">
        <v>164</v>
      </c>
      <c r="C54" t="s">
        <v>14</v>
      </c>
      <c r="D54" t="s">
        <v>37</v>
      </c>
      <c r="E54" t="s">
        <v>31</v>
      </c>
      <c r="F54" s="2">
        <v>3169000</v>
      </c>
      <c r="G54" s="3">
        <v>8.25</v>
      </c>
      <c r="H54" s="12">
        <v>45616</v>
      </c>
      <c r="I54" t="s">
        <v>44</v>
      </c>
      <c r="J54" t="s">
        <v>18</v>
      </c>
      <c r="K54" t="s">
        <v>26</v>
      </c>
      <c r="L54" s="2">
        <v>431900</v>
      </c>
    </row>
    <row r="55" spans="1:12">
      <c r="A55" t="s">
        <v>165</v>
      </c>
      <c r="B55" t="s">
        <v>166</v>
      </c>
      <c r="C55" t="s">
        <v>22</v>
      </c>
      <c r="D55" t="s">
        <v>43</v>
      </c>
      <c r="E55" t="s">
        <v>38</v>
      </c>
      <c r="F55" s="2">
        <v>5414000</v>
      </c>
      <c r="G55" s="3">
        <v>10</v>
      </c>
      <c r="H55" s="12">
        <v>45629</v>
      </c>
      <c r="I55" t="s">
        <v>39</v>
      </c>
      <c r="J55" t="s">
        <v>32</v>
      </c>
      <c r="K55" t="s">
        <v>33</v>
      </c>
      <c r="L55" s="2">
        <v>439200</v>
      </c>
    </row>
    <row r="56" spans="1:12">
      <c r="A56" t="s">
        <v>167</v>
      </c>
      <c r="B56" t="s">
        <v>168</v>
      </c>
      <c r="C56" t="s">
        <v>55</v>
      </c>
      <c r="D56" t="s">
        <v>48</v>
      </c>
      <c r="E56" t="s">
        <v>31</v>
      </c>
      <c r="F56" s="2">
        <v>3515000</v>
      </c>
      <c r="G56" s="3">
        <v>7.5</v>
      </c>
      <c r="H56" s="12">
        <v>45642</v>
      </c>
      <c r="I56" t="s">
        <v>39</v>
      </c>
      <c r="J56" t="s">
        <v>18</v>
      </c>
      <c r="K56" t="s">
        <v>19</v>
      </c>
      <c r="L56" s="2">
        <v>46500</v>
      </c>
    </row>
    <row r="57" spans="1:12">
      <c r="A57" t="s">
        <v>169</v>
      </c>
      <c r="B57" t="s">
        <v>170</v>
      </c>
      <c r="C57" t="s">
        <v>59</v>
      </c>
      <c r="D57" t="s">
        <v>43</v>
      </c>
      <c r="E57" t="s">
        <v>38</v>
      </c>
      <c r="F57" s="2">
        <v>5596000</v>
      </c>
      <c r="G57" s="3">
        <v>9.25</v>
      </c>
      <c r="H57" s="12">
        <v>45655</v>
      </c>
      <c r="I57" t="s">
        <v>17</v>
      </c>
      <c r="J57" t="s">
        <v>25</v>
      </c>
      <c r="K57" t="s">
        <v>56</v>
      </c>
      <c r="L57" s="2">
        <v>53800</v>
      </c>
    </row>
    <row r="58" spans="1:12">
      <c r="A58" t="s">
        <v>171</v>
      </c>
      <c r="B58" t="s">
        <v>172</v>
      </c>
      <c r="C58" t="s">
        <v>64</v>
      </c>
      <c r="D58" t="s">
        <v>48</v>
      </c>
      <c r="E58" t="s">
        <v>52</v>
      </c>
      <c r="F58" s="2">
        <v>2209000</v>
      </c>
      <c r="G58" s="3">
        <v>12.5</v>
      </c>
      <c r="H58" s="12">
        <v>45668</v>
      </c>
      <c r="I58" t="s">
        <v>39</v>
      </c>
      <c r="J58" t="s">
        <v>32</v>
      </c>
      <c r="K58" t="s">
        <v>61</v>
      </c>
      <c r="L58" s="2">
        <v>61100</v>
      </c>
    </row>
    <row r="59" spans="1:12">
      <c r="A59" t="s">
        <v>173</v>
      </c>
      <c r="B59" t="s">
        <v>174</v>
      </c>
      <c r="C59" t="s">
        <v>104</v>
      </c>
      <c r="D59" t="s">
        <v>60</v>
      </c>
      <c r="E59" t="s">
        <v>16</v>
      </c>
      <c r="F59" s="2">
        <v>3026000</v>
      </c>
      <c r="G59" s="3">
        <v>10.25</v>
      </c>
      <c r="H59" s="12">
        <v>45681</v>
      </c>
      <c r="I59" t="s">
        <v>44</v>
      </c>
      <c r="J59" t="s">
        <v>18</v>
      </c>
      <c r="K59" t="s">
        <v>55</v>
      </c>
      <c r="L59" s="2">
        <v>68400</v>
      </c>
    </row>
    <row r="60" spans="1:12">
      <c r="A60" t="s">
        <v>175</v>
      </c>
      <c r="B60" t="s">
        <v>176</v>
      </c>
      <c r="C60" t="s">
        <v>107</v>
      </c>
      <c r="D60" t="s">
        <v>15</v>
      </c>
      <c r="E60" t="s">
        <v>24</v>
      </c>
      <c r="F60" s="2">
        <v>1221000</v>
      </c>
      <c r="G60" s="3">
        <v>8</v>
      </c>
      <c r="H60" s="12">
        <v>45694</v>
      </c>
      <c r="I60" t="s">
        <v>39</v>
      </c>
      <c r="J60" t="s">
        <v>25</v>
      </c>
      <c r="K60" t="s">
        <v>56</v>
      </c>
      <c r="L60" s="2">
        <v>75700</v>
      </c>
    </row>
    <row r="61" spans="1:12">
      <c r="A61" t="s">
        <v>177</v>
      </c>
      <c r="B61" t="s">
        <v>178</v>
      </c>
      <c r="C61" t="s">
        <v>110</v>
      </c>
      <c r="D61" t="s">
        <v>23</v>
      </c>
      <c r="E61" t="s">
        <v>16</v>
      </c>
      <c r="F61" s="2">
        <v>3120000</v>
      </c>
      <c r="G61" s="3">
        <v>9.5</v>
      </c>
      <c r="H61" s="12">
        <v>45707</v>
      </c>
      <c r="I61" t="s">
        <v>44</v>
      </c>
      <c r="J61" t="s">
        <v>32</v>
      </c>
      <c r="K61" t="s">
        <v>61</v>
      </c>
      <c r="L61" s="2">
        <v>83000</v>
      </c>
    </row>
    <row r="62" spans="1:12">
      <c r="A62" t="s">
        <v>179</v>
      </c>
      <c r="B62" t="s">
        <v>180</v>
      </c>
      <c r="C62" t="s">
        <v>113</v>
      </c>
      <c r="D62" t="s">
        <v>30</v>
      </c>
      <c r="E62" t="s">
        <v>24</v>
      </c>
      <c r="F62" s="2">
        <v>1259000</v>
      </c>
      <c r="G62" s="3">
        <v>7.25</v>
      </c>
      <c r="H62" s="12">
        <v>45720</v>
      </c>
      <c r="I62" t="s">
        <v>17</v>
      </c>
      <c r="J62" t="s">
        <v>18</v>
      </c>
      <c r="K62" t="s">
        <v>55</v>
      </c>
      <c r="L62" s="2">
        <v>90300</v>
      </c>
    </row>
    <row r="63" spans="1:12">
      <c r="A63" t="s">
        <v>181</v>
      </c>
      <c r="B63" t="s">
        <v>182</v>
      </c>
      <c r="C63" t="s">
        <v>116</v>
      </c>
      <c r="D63" t="s">
        <v>37</v>
      </c>
      <c r="E63" t="s">
        <v>31</v>
      </c>
      <c r="F63" s="2">
        <v>4726000</v>
      </c>
      <c r="G63" s="3">
        <v>8</v>
      </c>
      <c r="H63" s="12">
        <v>45733</v>
      </c>
      <c r="I63" t="s">
        <v>17</v>
      </c>
      <c r="J63" t="s">
        <v>25</v>
      </c>
      <c r="K63" t="s">
        <v>56</v>
      </c>
      <c r="L63" s="2">
        <v>97600</v>
      </c>
    </row>
    <row r="64" spans="1:12">
      <c r="A64" t="s">
        <v>183</v>
      </c>
      <c r="B64" t="s">
        <v>184</v>
      </c>
      <c r="C64" t="s">
        <v>67</v>
      </c>
      <c r="D64" t="s">
        <v>30</v>
      </c>
      <c r="E64" t="s">
        <v>38</v>
      </c>
      <c r="F64" s="2">
        <v>6233000</v>
      </c>
      <c r="G64" s="3">
        <v>9.75</v>
      </c>
      <c r="H64" s="12">
        <v>45746</v>
      </c>
      <c r="I64" t="s">
        <v>44</v>
      </c>
      <c r="J64" t="s">
        <v>18</v>
      </c>
      <c r="K64" t="s">
        <v>61</v>
      </c>
      <c r="L64" s="2">
        <v>104900</v>
      </c>
    </row>
    <row r="65" spans="1:12">
      <c r="A65" t="s">
        <v>185</v>
      </c>
      <c r="B65" t="s">
        <v>186</v>
      </c>
      <c r="C65" t="s">
        <v>70</v>
      </c>
      <c r="D65" t="s">
        <v>37</v>
      </c>
      <c r="E65" t="s">
        <v>52</v>
      </c>
      <c r="F65" s="2">
        <v>2468000</v>
      </c>
      <c r="G65" s="3">
        <v>13</v>
      </c>
      <c r="H65" s="12">
        <v>45759</v>
      </c>
      <c r="I65" t="s">
        <v>17</v>
      </c>
      <c r="J65" t="s">
        <v>25</v>
      </c>
      <c r="K65" t="s">
        <v>33</v>
      </c>
      <c r="L65" s="2">
        <v>112200</v>
      </c>
    </row>
    <row r="66" spans="1:12">
      <c r="A66" t="s">
        <v>187</v>
      </c>
      <c r="B66" t="s">
        <v>188</v>
      </c>
      <c r="C66" t="s">
        <v>73</v>
      </c>
      <c r="D66" t="s">
        <v>43</v>
      </c>
      <c r="E66" t="s">
        <v>38</v>
      </c>
      <c r="F66" s="2">
        <v>6415000</v>
      </c>
      <c r="G66" s="3">
        <v>9</v>
      </c>
      <c r="H66" s="12">
        <v>45772</v>
      </c>
      <c r="I66" t="s">
        <v>44</v>
      </c>
      <c r="J66" t="s">
        <v>32</v>
      </c>
      <c r="K66" t="s">
        <v>19</v>
      </c>
      <c r="L66" s="2">
        <v>119500</v>
      </c>
    </row>
    <row r="67" spans="1:12">
      <c r="A67" t="s">
        <v>189</v>
      </c>
      <c r="B67" t="s">
        <v>190</v>
      </c>
      <c r="C67" t="s">
        <v>91</v>
      </c>
      <c r="D67" t="s">
        <v>48</v>
      </c>
      <c r="E67" t="s">
        <v>52</v>
      </c>
      <c r="F67" s="2">
        <v>2542000</v>
      </c>
      <c r="G67" s="3">
        <v>12.25</v>
      </c>
      <c r="H67" s="12">
        <v>45785</v>
      </c>
      <c r="I67" t="s">
        <v>17</v>
      </c>
      <c r="J67" t="s">
        <v>18</v>
      </c>
      <c r="K67" t="s">
        <v>26</v>
      </c>
      <c r="L67" s="2">
        <v>126800</v>
      </c>
    </row>
    <row r="68" spans="1:12">
      <c r="A68" t="s">
        <v>191</v>
      </c>
      <c r="B68" t="s">
        <v>192</v>
      </c>
      <c r="C68" t="s">
        <v>14</v>
      </c>
      <c r="D68" t="s">
        <v>60</v>
      </c>
      <c r="E68" t="s">
        <v>16</v>
      </c>
      <c r="F68" s="2">
        <v>449000</v>
      </c>
      <c r="G68" s="3">
        <v>10</v>
      </c>
      <c r="H68" s="12">
        <v>45798</v>
      </c>
      <c r="I68" t="s">
        <v>39</v>
      </c>
      <c r="J68" t="s">
        <v>25</v>
      </c>
      <c r="K68" t="s">
        <v>33</v>
      </c>
      <c r="L68" s="2">
        <v>134100</v>
      </c>
    </row>
    <row r="69" spans="1:12">
      <c r="A69" t="s">
        <v>193</v>
      </c>
      <c r="B69" t="s">
        <v>194</v>
      </c>
      <c r="C69" t="s">
        <v>22</v>
      </c>
      <c r="D69" t="s">
        <v>15</v>
      </c>
      <c r="E69" t="s">
        <v>24</v>
      </c>
      <c r="F69" s="2">
        <v>1392000</v>
      </c>
      <c r="G69" s="3">
        <v>7.75</v>
      </c>
      <c r="H69" s="12">
        <v>45811</v>
      </c>
      <c r="I69" t="s">
        <v>17</v>
      </c>
      <c r="J69" t="s">
        <v>32</v>
      </c>
      <c r="K69" t="s">
        <v>19</v>
      </c>
      <c r="L69" s="2">
        <v>141400</v>
      </c>
    </row>
    <row r="70" spans="1:12">
      <c r="A70" t="s">
        <v>195</v>
      </c>
      <c r="B70" t="s">
        <v>196</v>
      </c>
      <c r="C70" t="s">
        <v>29</v>
      </c>
      <c r="D70" t="s">
        <v>23</v>
      </c>
      <c r="E70" t="s">
        <v>31</v>
      </c>
      <c r="F70" s="2">
        <v>5937000</v>
      </c>
      <c r="G70" s="3">
        <v>8.5</v>
      </c>
      <c r="H70" s="12">
        <v>45824</v>
      </c>
      <c r="I70" t="s">
        <v>39</v>
      </c>
      <c r="J70" t="s">
        <v>18</v>
      </c>
      <c r="K70" t="s">
        <v>26</v>
      </c>
      <c r="L70" s="2">
        <v>148700</v>
      </c>
    </row>
    <row r="71" spans="1:12">
      <c r="A71" t="s">
        <v>197</v>
      </c>
      <c r="B71" t="s">
        <v>198</v>
      </c>
      <c r="C71" t="s">
        <v>36</v>
      </c>
      <c r="D71" t="s">
        <v>15</v>
      </c>
      <c r="E71" t="s">
        <v>24</v>
      </c>
      <c r="F71" s="2">
        <v>1430000</v>
      </c>
      <c r="G71" s="3">
        <v>7</v>
      </c>
      <c r="H71" s="12">
        <v>45837</v>
      </c>
      <c r="I71" t="s">
        <v>17</v>
      </c>
      <c r="J71" t="s">
        <v>25</v>
      </c>
      <c r="K71" t="s">
        <v>33</v>
      </c>
      <c r="L71" s="2">
        <v>156000</v>
      </c>
    </row>
    <row r="72" spans="1:12">
      <c r="A72" t="s">
        <v>199</v>
      </c>
      <c r="B72" t="s">
        <v>200</v>
      </c>
      <c r="C72" t="s">
        <v>42</v>
      </c>
      <c r="D72" t="s">
        <v>23</v>
      </c>
      <c r="E72" t="s">
        <v>31</v>
      </c>
      <c r="F72" s="2">
        <v>6283000</v>
      </c>
      <c r="G72" s="3">
        <v>7.75</v>
      </c>
      <c r="H72" s="12">
        <v>45850</v>
      </c>
      <c r="I72" t="s">
        <v>44</v>
      </c>
      <c r="J72" t="s">
        <v>32</v>
      </c>
      <c r="K72" t="s">
        <v>19</v>
      </c>
      <c r="L72" s="2">
        <v>163300</v>
      </c>
    </row>
    <row r="73" spans="1:12">
      <c r="A73" t="s">
        <v>201</v>
      </c>
      <c r="B73" t="s">
        <v>202</v>
      </c>
      <c r="C73" t="s">
        <v>47</v>
      </c>
      <c r="D73" t="s">
        <v>30</v>
      </c>
      <c r="E73" t="s">
        <v>38</v>
      </c>
      <c r="F73" s="2">
        <v>1052000</v>
      </c>
      <c r="G73" s="3">
        <v>9.5</v>
      </c>
      <c r="H73" s="12">
        <v>45863</v>
      </c>
      <c r="I73" t="s">
        <v>17</v>
      </c>
      <c r="J73" t="s">
        <v>25</v>
      </c>
      <c r="K73" t="s">
        <v>56</v>
      </c>
      <c r="L73" s="2">
        <v>170600</v>
      </c>
    </row>
    <row r="74" spans="1:12">
      <c r="A74" t="s">
        <v>203</v>
      </c>
      <c r="B74" t="s">
        <v>204</v>
      </c>
      <c r="C74" t="s">
        <v>51</v>
      </c>
      <c r="D74" t="s">
        <v>37</v>
      </c>
      <c r="E74" t="s">
        <v>52</v>
      </c>
      <c r="F74" s="2">
        <v>301000</v>
      </c>
      <c r="G74" s="3">
        <v>12.75</v>
      </c>
      <c r="H74" s="12">
        <v>45876</v>
      </c>
      <c r="I74" t="s">
        <v>17</v>
      </c>
      <c r="J74" t="s">
        <v>32</v>
      </c>
      <c r="K74" t="s">
        <v>61</v>
      </c>
      <c r="L74" s="2">
        <v>177900</v>
      </c>
    </row>
    <row r="75" spans="1:12">
      <c r="A75" t="s">
        <v>205</v>
      </c>
      <c r="B75" t="s">
        <v>206</v>
      </c>
      <c r="C75" t="s">
        <v>55</v>
      </c>
      <c r="D75" t="s">
        <v>43</v>
      </c>
      <c r="E75" t="s">
        <v>16</v>
      </c>
      <c r="F75" s="2">
        <v>778000</v>
      </c>
      <c r="G75" s="3">
        <v>10.5</v>
      </c>
      <c r="H75" s="12">
        <v>45889</v>
      </c>
      <c r="I75" t="s">
        <v>39</v>
      </c>
      <c r="J75" t="s">
        <v>18</v>
      </c>
      <c r="K75" t="s">
        <v>55</v>
      </c>
      <c r="L75" s="2">
        <v>185200</v>
      </c>
    </row>
    <row r="76" spans="1:12">
      <c r="A76" t="s">
        <v>207</v>
      </c>
      <c r="B76" t="s">
        <v>208</v>
      </c>
      <c r="C76" t="s">
        <v>59</v>
      </c>
      <c r="D76" t="s">
        <v>48</v>
      </c>
      <c r="E76" t="s">
        <v>52</v>
      </c>
      <c r="F76" s="2">
        <v>375000</v>
      </c>
      <c r="G76" s="3">
        <v>12</v>
      </c>
      <c r="H76" s="12">
        <v>45902</v>
      </c>
      <c r="I76" t="s">
        <v>39</v>
      </c>
      <c r="J76" t="s">
        <v>25</v>
      </c>
      <c r="K76" t="s">
        <v>56</v>
      </c>
      <c r="L76" s="2">
        <v>192500</v>
      </c>
    </row>
    <row r="77" spans="1:12">
      <c r="A77" t="s">
        <v>209</v>
      </c>
      <c r="B77" t="s">
        <v>210</v>
      </c>
      <c r="C77" t="s">
        <v>64</v>
      </c>
      <c r="D77" t="s">
        <v>60</v>
      </c>
      <c r="E77" t="s">
        <v>16</v>
      </c>
      <c r="F77" s="2">
        <v>872000</v>
      </c>
      <c r="G77" s="3">
        <v>9.75</v>
      </c>
      <c r="H77" s="12">
        <v>45915</v>
      </c>
      <c r="I77" t="s">
        <v>44</v>
      </c>
      <c r="J77" t="s">
        <v>32</v>
      </c>
      <c r="K77" t="s">
        <v>61</v>
      </c>
      <c r="L77" s="2">
        <v>199800</v>
      </c>
    </row>
    <row r="78" spans="1:12">
      <c r="A78" t="s">
        <v>211</v>
      </c>
      <c r="B78" t="s">
        <v>212</v>
      </c>
      <c r="C78" t="s">
        <v>67</v>
      </c>
      <c r="D78" t="s">
        <v>48</v>
      </c>
      <c r="E78" t="s">
        <v>24</v>
      </c>
      <c r="F78" s="2">
        <v>1563000</v>
      </c>
      <c r="G78" s="3">
        <v>7.5</v>
      </c>
      <c r="H78" s="12">
        <v>45928</v>
      </c>
      <c r="I78" t="s">
        <v>44</v>
      </c>
      <c r="J78" t="s">
        <v>18</v>
      </c>
      <c r="K78" t="s">
        <v>55</v>
      </c>
      <c r="L78" s="2">
        <v>207100</v>
      </c>
    </row>
    <row r="79" spans="1:12">
      <c r="A79" t="s">
        <v>213</v>
      </c>
      <c r="B79" t="s">
        <v>214</v>
      </c>
      <c r="C79" t="s">
        <v>70</v>
      </c>
      <c r="D79" t="s">
        <v>60</v>
      </c>
      <c r="E79" t="s">
        <v>31</v>
      </c>
      <c r="F79" s="2">
        <v>7494000</v>
      </c>
      <c r="G79" s="3">
        <v>8.25</v>
      </c>
      <c r="H79" s="12">
        <v>45941</v>
      </c>
      <c r="I79" t="s">
        <v>17</v>
      </c>
      <c r="J79" t="s">
        <v>25</v>
      </c>
      <c r="K79" t="s">
        <v>56</v>
      </c>
      <c r="L79" s="2">
        <v>214400</v>
      </c>
    </row>
    <row r="80" spans="1:12">
      <c r="A80" t="s">
        <v>215</v>
      </c>
      <c r="B80" t="s">
        <v>216</v>
      </c>
      <c r="C80" t="s">
        <v>73</v>
      </c>
      <c r="D80" t="s">
        <v>15</v>
      </c>
      <c r="E80" t="s">
        <v>38</v>
      </c>
      <c r="F80" s="2">
        <v>1689000</v>
      </c>
      <c r="G80" s="3">
        <v>10</v>
      </c>
      <c r="H80" s="12">
        <v>45954</v>
      </c>
      <c r="I80" t="s">
        <v>39</v>
      </c>
      <c r="J80" t="s">
        <v>32</v>
      </c>
      <c r="K80" t="s">
        <v>61</v>
      </c>
      <c r="L80" s="2">
        <v>221700</v>
      </c>
    </row>
    <row r="81" spans="1:12">
      <c r="A81" t="s">
        <v>217</v>
      </c>
      <c r="B81" t="s">
        <v>218</v>
      </c>
      <c r="C81" t="s">
        <v>76</v>
      </c>
      <c r="D81" t="s">
        <v>23</v>
      </c>
      <c r="E81" t="s">
        <v>31</v>
      </c>
      <c r="F81" s="2">
        <v>7840000</v>
      </c>
      <c r="G81" s="3">
        <v>7.5</v>
      </c>
      <c r="H81" s="12">
        <v>45967</v>
      </c>
      <c r="I81" t="s">
        <v>39</v>
      </c>
      <c r="J81" t="s">
        <v>18</v>
      </c>
      <c r="K81" t="s">
        <v>33</v>
      </c>
      <c r="L81" s="2">
        <v>229000</v>
      </c>
    </row>
    <row r="82" spans="1:12">
      <c r="A82" t="s">
        <v>219</v>
      </c>
      <c r="B82" t="s">
        <v>220</v>
      </c>
      <c r="C82" t="s">
        <v>79</v>
      </c>
      <c r="D82" t="s">
        <v>30</v>
      </c>
      <c r="E82" t="s">
        <v>38</v>
      </c>
      <c r="F82" s="2">
        <v>1871000</v>
      </c>
      <c r="G82" s="3">
        <v>9.25</v>
      </c>
      <c r="H82" s="12">
        <v>45980</v>
      </c>
      <c r="I82" t="s">
        <v>44</v>
      </c>
      <c r="J82" t="s">
        <v>32</v>
      </c>
      <c r="K82" t="s">
        <v>19</v>
      </c>
      <c r="L82" s="2">
        <v>236300</v>
      </c>
    </row>
    <row r="83" spans="1:12">
      <c r="A83" t="s">
        <v>221</v>
      </c>
      <c r="B83" t="s">
        <v>222</v>
      </c>
      <c r="C83" t="s">
        <v>82</v>
      </c>
      <c r="D83" t="s">
        <v>37</v>
      </c>
      <c r="E83" t="s">
        <v>52</v>
      </c>
      <c r="F83" s="2">
        <v>634000</v>
      </c>
      <c r="G83" s="3">
        <v>12.5</v>
      </c>
      <c r="H83" s="12">
        <v>45993</v>
      </c>
      <c r="I83" t="s">
        <v>44</v>
      </c>
      <c r="J83" t="s">
        <v>18</v>
      </c>
      <c r="K83" t="s">
        <v>26</v>
      </c>
      <c r="L83" s="2">
        <v>243600</v>
      </c>
    </row>
    <row r="84" spans="1:12">
      <c r="A84" t="s">
        <v>223</v>
      </c>
      <c r="B84" t="s">
        <v>224</v>
      </c>
      <c r="C84" t="s">
        <v>85</v>
      </c>
      <c r="D84" t="s">
        <v>43</v>
      </c>
      <c r="E84" t="s">
        <v>16</v>
      </c>
      <c r="F84" s="2">
        <v>1201000</v>
      </c>
      <c r="G84" s="3">
        <v>10.25</v>
      </c>
      <c r="H84" s="12">
        <v>46006</v>
      </c>
      <c r="I84" t="s">
        <v>39</v>
      </c>
      <c r="J84" t="s">
        <v>25</v>
      </c>
      <c r="K84" t="s">
        <v>33</v>
      </c>
      <c r="L84" s="2">
        <v>250900</v>
      </c>
    </row>
    <row r="85" spans="1:12">
      <c r="A85" t="s">
        <v>225</v>
      </c>
      <c r="B85" t="s">
        <v>226</v>
      </c>
      <c r="C85" t="s">
        <v>88</v>
      </c>
      <c r="D85" t="s">
        <v>37</v>
      </c>
      <c r="E85" t="s">
        <v>24</v>
      </c>
      <c r="F85" s="2">
        <v>196000</v>
      </c>
      <c r="G85" s="3">
        <v>8</v>
      </c>
      <c r="H85" s="12">
        <v>46019</v>
      </c>
      <c r="I85" t="s">
        <v>39</v>
      </c>
      <c r="J85" t="s">
        <v>32</v>
      </c>
      <c r="K85" t="s">
        <v>19</v>
      </c>
      <c r="L85" s="2">
        <v>258200</v>
      </c>
    </row>
    <row r="86" spans="1:12">
      <c r="A86" t="s">
        <v>227</v>
      </c>
      <c r="B86" t="s">
        <v>228</v>
      </c>
      <c r="C86" t="s">
        <v>91</v>
      </c>
      <c r="D86" t="s">
        <v>43</v>
      </c>
      <c r="E86" t="s">
        <v>16</v>
      </c>
      <c r="F86" s="2">
        <v>1295000</v>
      </c>
      <c r="G86" s="3">
        <v>9.5</v>
      </c>
      <c r="H86" s="12">
        <v>46032</v>
      </c>
      <c r="I86" t="s">
        <v>39</v>
      </c>
      <c r="J86" t="s">
        <v>18</v>
      </c>
      <c r="K86" t="s">
        <v>26</v>
      </c>
      <c r="L86" s="2">
        <v>265500</v>
      </c>
    </row>
    <row r="87" spans="1:12">
      <c r="A87" t="s">
        <v>229</v>
      </c>
      <c r="B87" t="s">
        <v>230</v>
      </c>
      <c r="C87" t="s">
        <v>14</v>
      </c>
      <c r="D87" t="s">
        <v>48</v>
      </c>
      <c r="E87" t="s">
        <v>24</v>
      </c>
      <c r="F87" s="2">
        <v>234000</v>
      </c>
      <c r="G87" s="3">
        <v>7.25</v>
      </c>
      <c r="H87" s="12">
        <v>46045</v>
      </c>
      <c r="I87" t="s">
        <v>17</v>
      </c>
      <c r="J87" t="s">
        <v>25</v>
      </c>
      <c r="K87" t="s">
        <v>33</v>
      </c>
      <c r="L87" s="2">
        <v>272800</v>
      </c>
    </row>
    <row r="88" spans="1:12">
      <c r="A88" t="s">
        <v>231</v>
      </c>
      <c r="B88" t="s">
        <v>232</v>
      </c>
      <c r="C88" t="s">
        <v>22</v>
      </c>
      <c r="D88" t="s">
        <v>60</v>
      </c>
      <c r="E88" t="s">
        <v>31</v>
      </c>
      <c r="F88" s="2">
        <v>9051000</v>
      </c>
      <c r="G88" s="3">
        <v>8</v>
      </c>
      <c r="H88" s="12">
        <v>46058</v>
      </c>
      <c r="I88" t="s">
        <v>39</v>
      </c>
      <c r="J88" t="s">
        <v>32</v>
      </c>
      <c r="K88" t="s">
        <v>19</v>
      </c>
      <c r="L88" s="2">
        <v>280100</v>
      </c>
    </row>
    <row r="89" spans="1:12">
      <c r="A89" t="s">
        <v>233</v>
      </c>
      <c r="B89" t="s">
        <v>234</v>
      </c>
      <c r="C89" t="s">
        <v>55</v>
      </c>
      <c r="D89" t="s">
        <v>15</v>
      </c>
      <c r="E89" t="s">
        <v>38</v>
      </c>
      <c r="F89" s="2">
        <v>2508000</v>
      </c>
      <c r="G89" s="3">
        <v>9.75</v>
      </c>
      <c r="H89" s="12">
        <v>46071</v>
      </c>
      <c r="I89" t="s">
        <v>44</v>
      </c>
      <c r="J89" t="s">
        <v>18</v>
      </c>
      <c r="K89" t="s">
        <v>56</v>
      </c>
      <c r="L89" s="2">
        <v>287400</v>
      </c>
    </row>
    <row r="90" spans="1:12">
      <c r="A90" t="s">
        <v>235</v>
      </c>
      <c r="B90" t="s">
        <v>236</v>
      </c>
      <c r="C90" t="s">
        <v>59</v>
      </c>
      <c r="D90" t="s">
        <v>23</v>
      </c>
      <c r="E90" t="s">
        <v>52</v>
      </c>
      <c r="F90" s="2">
        <v>893000</v>
      </c>
      <c r="G90" s="3">
        <v>13</v>
      </c>
      <c r="H90" s="12">
        <v>46084</v>
      </c>
      <c r="I90" t="s">
        <v>44</v>
      </c>
      <c r="J90" t="s">
        <v>25</v>
      </c>
      <c r="K90" t="s">
        <v>61</v>
      </c>
      <c r="L90" s="2">
        <v>294700</v>
      </c>
    </row>
    <row r="91" spans="1:12">
      <c r="A91" t="s">
        <v>237</v>
      </c>
      <c r="B91" t="s">
        <v>238</v>
      </c>
      <c r="C91" t="s">
        <v>64</v>
      </c>
      <c r="D91" t="s">
        <v>30</v>
      </c>
      <c r="E91" t="s">
        <v>38</v>
      </c>
      <c r="F91" s="2">
        <v>2690000</v>
      </c>
      <c r="G91" s="3">
        <v>9</v>
      </c>
      <c r="H91" s="12">
        <v>46097</v>
      </c>
      <c r="I91" t="s">
        <v>39</v>
      </c>
      <c r="J91" t="s">
        <v>18</v>
      </c>
      <c r="K91" t="s">
        <v>55</v>
      </c>
      <c r="L91" s="2">
        <v>302000</v>
      </c>
    </row>
    <row r="92" spans="1:12">
      <c r="A92" t="s">
        <v>239</v>
      </c>
      <c r="B92" t="s">
        <v>240</v>
      </c>
      <c r="C92" t="s">
        <v>104</v>
      </c>
      <c r="D92" t="s">
        <v>23</v>
      </c>
      <c r="E92" t="s">
        <v>52</v>
      </c>
      <c r="F92" s="2">
        <v>967000</v>
      </c>
      <c r="G92" s="3">
        <v>12.25</v>
      </c>
      <c r="H92" s="12">
        <v>46110</v>
      </c>
      <c r="I92" t="s">
        <v>39</v>
      </c>
      <c r="J92" t="s">
        <v>25</v>
      </c>
      <c r="K92" t="s">
        <v>56</v>
      </c>
      <c r="L92" s="2">
        <v>309300</v>
      </c>
    </row>
    <row r="93" spans="1:12">
      <c r="A93" t="s">
        <v>241</v>
      </c>
      <c r="B93" t="s">
        <v>242</v>
      </c>
      <c r="C93" t="s">
        <v>107</v>
      </c>
      <c r="D93" t="s">
        <v>30</v>
      </c>
      <c r="E93" t="s">
        <v>16</v>
      </c>
      <c r="F93" s="2">
        <v>1624000</v>
      </c>
      <c r="G93" s="3">
        <v>10</v>
      </c>
      <c r="H93" s="12">
        <v>46123</v>
      </c>
      <c r="I93" t="s">
        <v>39</v>
      </c>
      <c r="J93" t="s">
        <v>32</v>
      </c>
      <c r="K93" t="s">
        <v>61</v>
      </c>
      <c r="L93" s="2">
        <v>316600</v>
      </c>
    </row>
    <row r="94" spans="1:12">
      <c r="A94" t="s">
        <v>243</v>
      </c>
      <c r="B94" t="s">
        <v>244</v>
      </c>
      <c r="C94" t="s">
        <v>110</v>
      </c>
      <c r="D94" t="s">
        <v>37</v>
      </c>
      <c r="E94" t="s">
        <v>24</v>
      </c>
      <c r="F94" s="2">
        <v>367000</v>
      </c>
      <c r="G94" s="3">
        <v>7.75</v>
      </c>
      <c r="H94" s="12">
        <v>46136</v>
      </c>
      <c r="I94" t="s">
        <v>44</v>
      </c>
      <c r="J94" t="s">
        <v>18</v>
      </c>
      <c r="K94" t="s">
        <v>55</v>
      </c>
      <c r="L94" s="2">
        <v>323900</v>
      </c>
    </row>
    <row r="95" spans="1:12">
      <c r="A95" t="s">
        <v>245</v>
      </c>
      <c r="B95" t="s">
        <v>246</v>
      </c>
      <c r="C95" t="s">
        <v>113</v>
      </c>
      <c r="D95" t="s">
        <v>43</v>
      </c>
      <c r="E95" t="s">
        <v>31</v>
      </c>
      <c r="F95" s="2">
        <v>2262000</v>
      </c>
      <c r="G95" s="3">
        <v>8.5</v>
      </c>
      <c r="H95" s="12">
        <v>46149</v>
      </c>
      <c r="I95" t="s">
        <v>17</v>
      </c>
      <c r="J95" t="s">
        <v>25</v>
      </c>
      <c r="K95" t="s">
        <v>56</v>
      </c>
      <c r="L95" s="2">
        <v>331200</v>
      </c>
    </row>
    <row r="96" spans="1:12">
      <c r="A96" t="s">
        <v>247</v>
      </c>
      <c r="B96" t="s">
        <v>248</v>
      </c>
      <c r="C96" t="s">
        <v>116</v>
      </c>
      <c r="D96" t="s">
        <v>48</v>
      </c>
      <c r="E96" t="s">
        <v>24</v>
      </c>
      <c r="F96" s="2">
        <v>405000</v>
      </c>
      <c r="G96" s="3">
        <v>7</v>
      </c>
      <c r="H96" s="12">
        <v>46162</v>
      </c>
      <c r="I96" t="s">
        <v>44</v>
      </c>
      <c r="J96" t="s">
        <v>32</v>
      </c>
      <c r="K96" t="s">
        <v>61</v>
      </c>
      <c r="L96" s="2">
        <v>338500</v>
      </c>
    </row>
    <row r="97" spans="1:12">
      <c r="A97" t="s">
        <v>249</v>
      </c>
      <c r="B97" t="s">
        <v>250</v>
      </c>
      <c r="C97" t="s">
        <v>67</v>
      </c>
      <c r="D97" t="s">
        <v>60</v>
      </c>
      <c r="E97" t="s">
        <v>31</v>
      </c>
      <c r="F97" s="2">
        <v>2608000</v>
      </c>
      <c r="G97" s="3">
        <v>7.75</v>
      </c>
      <c r="H97" s="12">
        <v>46175</v>
      </c>
      <c r="I97" t="s">
        <v>17</v>
      </c>
      <c r="J97" t="s">
        <v>18</v>
      </c>
      <c r="K97" t="s">
        <v>33</v>
      </c>
      <c r="L97" s="2">
        <v>345800</v>
      </c>
    </row>
    <row r="98" spans="1:12">
      <c r="A98" t="s">
        <v>251</v>
      </c>
      <c r="B98" t="s">
        <v>252</v>
      </c>
      <c r="C98" t="s">
        <v>70</v>
      </c>
      <c r="D98" t="s">
        <v>15</v>
      </c>
      <c r="E98" t="s">
        <v>38</v>
      </c>
      <c r="F98" s="2">
        <v>3327000</v>
      </c>
      <c r="G98" s="3">
        <v>9.5</v>
      </c>
      <c r="H98" s="12">
        <v>46188</v>
      </c>
      <c r="I98" t="s">
        <v>44</v>
      </c>
      <c r="J98" t="s">
        <v>25</v>
      </c>
      <c r="K98" t="s">
        <v>19</v>
      </c>
      <c r="L98" s="2">
        <v>353100</v>
      </c>
    </row>
    <row r="99" spans="1:12">
      <c r="A99" t="s">
        <v>253</v>
      </c>
      <c r="B99" t="s">
        <v>254</v>
      </c>
      <c r="C99" t="s">
        <v>73</v>
      </c>
      <c r="D99" t="s">
        <v>60</v>
      </c>
      <c r="E99" t="s">
        <v>52</v>
      </c>
      <c r="F99" s="2">
        <v>1226000</v>
      </c>
      <c r="G99" s="3">
        <v>12.75</v>
      </c>
      <c r="H99" s="12">
        <v>46201</v>
      </c>
      <c r="I99" t="s">
        <v>17</v>
      </c>
      <c r="J99" t="s">
        <v>32</v>
      </c>
      <c r="K99" t="s">
        <v>26</v>
      </c>
      <c r="L99" s="2">
        <v>360400</v>
      </c>
    </row>
    <row r="100" spans="1:12">
      <c r="A100" t="s">
        <v>255</v>
      </c>
      <c r="B100" t="s">
        <v>256</v>
      </c>
      <c r="C100" t="s">
        <v>91</v>
      </c>
      <c r="D100" t="s">
        <v>15</v>
      </c>
      <c r="E100" t="s">
        <v>16</v>
      </c>
      <c r="F100" s="2">
        <v>1953000</v>
      </c>
      <c r="G100" s="3">
        <v>10.5</v>
      </c>
      <c r="H100" s="12">
        <v>46214</v>
      </c>
      <c r="I100" t="s">
        <v>39</v>
      </c>
      <c r="J100" t="s">
        <v>25</v>
      </c>
      <c r="K100" t="s">
        <v>33</v>
      </c>
      <c r="L100" s="2">
        <v>367700</v>
      </c>
    </row>
    <row r="101" spans="1:12">
      <c r="A101" t="s">
        <v>257</v>
      </c>
      <c r="B101" t="s">
        <v>258</v>
      </c>
      <c r="C101" t="s">
        <v>14</v>
      </c>
      <c r="D101" t="s">
        <v>23</v>
      </c>
      <c r="E101" t="s">
        <v>52</v>
      </c>
      <c r="F101" s="2">
        <v>1300000</v>
      </c>
      <c r="G101" s="3">
        <v>12</v>
      </c>
      <c r="H101" s="12">
        <v>46227</v>
      </c>
      <c r="I101" t="s">
        <v>44</v>
      </c>
      <c r="J101" t="s">
        <v>32</v>
      </c>
      <c r="K101" t="s">
        <v>19</v>
      </c>
      <c r="L101" s="2">
        <v>375000</v>
      </c>
    </row>
    <row r="102" spans="1:12">
      <c r="A102" t="s">
        <v>259</v>
      </c>
      <c r="B102" t="s">
        <v>260</v>
      </c>
      <c r="C102" t="s">
        <v>22</v>
      </c>
      <c r="D102" t="s">
        <v>30</v>
      </c>
      <c r="E102" t="s">
        <v>16</v>
      </c>
      <c r="F102" s="2">
        <v>2047000</v>
      </c>
      <c r="G102" s="3">
        <v>9.75</v>
      </c>
      <c r="H102" s="12">
        <v>46240</v>
      </c>
      <c r="I102" t="s">
        <v>17</v>
      </c>
      <c r="J102" t="s">
        <v>18</v>
      </c>
      <c r="K102" t="s">
        <v>26</v>
      </c>
      <c r="L102" s="2">
        <v>382300</v>
      </c>
    </row>
    <row r="103" spans="1:12">
      <c r="A103" t="s">
        <v>261</v>
      </c>
      <c r="B103" t="s">
        <v>262</v>
      </c>
      <c r="C103" t="s">
        <v>29</v>
      </c>
      <c r="D103" t="s">
        <v>37</v>
      </c>
      <c r="E103" t="s">
        <v>24</v>
      </c>
      <c r="F103" s="2">
        <v>538000</v>
      </c>
      <c r="G103" s="3">
        <v>7.5</v>
      </c>
      <c r="H103" s="12">
        <v>46253</v>
      </c>
      <c r="I103" t="s">
        <v>17</v>
      </c>
      <c r="J103" t="s">
        <v>25</v>
      </c>
      <c r="K103" t="s">
        <v>33</v>
      </c>
      <c r="L103" s="2">
        <v>389600</v>
      </c>
    </row>
    <row r="104" spans="1:12">
      <c r="A104" t="s">
        <v>263</v>
      </c>
      <c r="B104" t="s">
        <v>264</v>
      </c>
      <c r="C104" t="s">
        <v>36</v>
      </c>
      <c r="D104" t="s">
        <v>43</v>
      </c>
      <c r="E104" t="s">
        <v>31</v>
      </c>
      <c r="F104" s="2">
        <v>3819000</v>
      </c>
      <c r="G104" s="3">
        <v>8.25</v>
      </c>
      <c r="H104" s="12">
        <v>46266</v>
      </c>
      <c r="I104" t="s">
        <v>17</v>
      </c>
      <c r="J104" t="s">
        <v>32</v>
      </c>
      <c r="K104" t="s">
        <v>19</v>
      </c>
      <c r="L104" s="2">
        <v>396900</v>
      </c>
    </row>
    <row r="105" spans="1:12">
      <c r="A105" t="s">
        <v>265</v>
      </c>
      <c r="B105" t="s">
        <v>266</v>
      </c>
      <c r="C105" t="s">
        <v>42</v>
      </c>
      <c r="D105" t="s">
        <v>48</v>
      </c>
      <c r="E105" t="s">
        <v>38</v>
      </c>
      <c r="F105" s="2">
        <v>3964000</v>
      </c>
      <c r="G105" s="3">
        <v>10</v>
      </c>
      <c r="H105" s="12">
        <v>46279</v>
      </c>
      <c r="I105" t="s">
        <v>39</v>
      </c>
      <c r="J105" t="s">
        <v>18</v>
      </c>
      <c r="K105" t="s">
        <v>56</v>
      </c>
      <c r="L105" s="2">
        <v>404200</v>
      </c>
    </row>
    <row r="106" spans="1:12">
      <c r="A106" t="s">
        <v>267</v>
      </c>
      <c r="B106" t="s">
        <v>268</v>
      </c>
      <c r="C106" t="s">
        <v>47</v>
      </c>
      <c r="D106" t="s">
        <v>43</v>
      </c>
      <c r="E106" t="s">
        <v>31</v>
      </c>
      <c r="F106" s="2">
        <v>4165000</v>
      </c>
      <c r="G106" s="3">
        <v>7.5</v>
      </c>
      <c r="H106" s="12">
        <v>44932</v>
      </c>
      <c r="I106" t="s">
        <v>44</v>
      </c>
      <c r="J106" t="s">
        <v>25</v>
      </c>
      <c r="K106" t="s">
        <v>61</v>
      </c>
      <c r="L106" s="2">
        <v>411500</v>
      </c>
    </row>
    <row r="107" spans="1:12">
      <c r="A107" t="s">
        <v>269</v>
      </c>
      <c r="B107" t="s">
        <v>270</v>
      </c>
      <c r="C107" t="s">
        <v>51</v>
      </c>
      <c r="D107" t="s">
        <v>48</v>
      </c>
      <c r="E107" t="s">
        <v>38</v>
      </c>
      <c r="F107" s="2">
        <v>4146000</v>
      </c>
      <c r="G107" s="3">
        <v>9.25</v>
      </c>
      <c r="H107" s="12">
        <v>44945</v>
      </c>
      <c r="I107" t="s">
        <v>44</v>
      </c>
      <c r="J107" t="s">
        <v>32</v>
      </c>
      <c r="K107" t="s">
        <v>55</v>
      </c>
      <c r="L107" s="2">
        <v>418800</v>
      </c>
    </row>
    <row r="108" spans="1:12">
      <c r="A108" t="s">
        <v>271</v>
      </c>
      <c r="B108" t="s">
        <v>272</v>
      </c>
      <c r="C108" t="s">
        <v>55</v>
      </c>
      <c r="D108" t="s">
        <v>60</v>
      </c>
      <c r="E108" t="s">
        <v>52</v>
      </c>
      <c r="F108" s="2">
        <v>1559000</v>
      </c>
      <c r="G108" s="3">
        <v>12.5</v>
      </c>
      <c r="H108" s="12">
        <v>44958</v>
      </c>
      <c r="I108" t="s">
        <v>44</v>
      </c>
      <c r="J108" t="s">
        <v>18</v>
      </c>
      <c r="K108" t="s">
        <v>56</v>
      </c>
      <c r="L108" s="2">
        <v>426100</v>
      </c>
    </row>
    <row r="109" spans="1:12">
      <c r="A109" t="s">
        <v>273</v>
      </c>
      <c r="B109" t="s">
        <v>274</v>
      </c>
      <c r="C109" t="s">
        <v>59</v>
      </c>
      <c r="D109" t="s">
        <v>15</v>
      </c>
      <c r="E109" t="s">
        <v>16</v>
      </c>
      <c r="F109" s="2">
        <v>2376000</v>
      </c>
      <c r="G109" s="3">
        <v>10.25</v>
      </c>
      <c r="H109" s="12">
        <v>44971</v>
      </c>
      <c r="I109" t="s">
        <v>17</v>
      </c>
      <c r="J109" t="s">
        <v>32</v>
      </c>
      <c r="K109" t="s">
        <v>61</v>
      </c>
      <c r="L109" s="2">
        <v>433400</v>
      </c>
    </row>
    <row r="110" spans="1:12">
      <c r="A110" t="s">
        <v>275</v>
      </c>
      <c r="B110" t="s">
        <v>276</v>
      </c>
      <c r="C110" t="s">
        <v>64</v>
      </c>
      <c r="D110" t="s">
        <v>23</v>
      </c>
      <c r="E110" t="s">
        <v>24</v>
      </c>
      <c r="F110" s="2">
        <v>671000</v>
      </c>
      <c r="G110" s="3">
        <v>8</v>
      </c>
      <c r="H110" s="12">
        <v>44984</v>
      </c>
      <c r="I110" t="s">
        <v>39</v>
      </c>
      <c r="J110" t="s">
        <v>18</v>
      </c>
      <c r="K110" t="s">
        <v>55</v>
      </c>
      <c r="L110" s="2">
        <v>440700</v>
      </c>
    </row>
    <row r="111" spans="1:12">
      <c r="A111" t="s">
        <v>277</v>
      </c>
      <c r="B111" t="s">
        <v>278</v>
      </c>
      <c r="C111" t="s">
        <v>67</v>
      </c>
      <c r="D111" t="s">
        <v>30</v>
      </c>
      <c r="E111" t="s">
        <v>16</v>
      </c>
      <c r="F111" s="2">
        <v>2470000</v>
      </c>
      <c r="G111" s="3">
        <v>9.5</v>
      </c>
      <c r="H111" s="12">
        <v>44997</v>
      </c>
      <c r="I111" t="s">
        <v>17</v>
      </c>
      <c r="J111" t="s">
        <v>25</v>
      </c>
      <c r="K111" t="s">
        <v>56</v>
      </c>
      <c r="L111" s="2">
        <v>48000</v>
      </c>
    </row>
    <row r="112" spans="1:12">
      <c r="A112" t="s">
        <v>279</v>
      </c>
      <c r="B112" t="s">
        <v>280</v>
      </c>
      <c r="C112" t="s">
        <v>70</v>
      </c>
      <c r="D112" t="s">
        <v>37</v>
      </c>
      <c r="E112" t="s">
        <v>24</v>
      </c>
      <c r="F112" s="2">
        <v>709000</v>
      </c>
      <c r="G112" s="3">
        <v>7.25</v>
      </c>
      <c r="H112" s="12">
        <v>45010</v>
      </c>
      <c r="I112" t="s">
        <v>44</v>
      </c>
      <c r="J112" t="s">
        <v>32</v>
      </c>
      <c r="K112" t="s">
        <v>61</v>
      </c>
      <c r="L112" s="2">
        <v>55300</v>
      </c>
    </row>
    <row r="113" spans="1:12">
      <c r="A113" t="s">
        <v>281</v>
      </c>
      <c r="B113" t="s">
        <v>282</v>
      </c>
      <c r="C113" t="s">
        <v>73</v>
      </c>
      <c r="D113" t="s">
        <v>30</v>
      </c>
      <c r="E113" t="s">
        <v>31</v>
      </c>
      <c r="F113" s="2">
        <v>5376000</v>
      </c>
      <c r="G113" s="3">
        <v>8</v>
      </c>
      <c r="H113" s="12">
        <v>45023</v>
      </c>
      <c r="I113" t="s">
        <v>44</v>
      </c>
      <c r="J113" t="s">
        <v>18</v>
      </c>
      <c r="K113" t="s">
        <v>33</v>
      </c>
      <c r="L113" s="2">
        <v>62600</v>
      </c>
    </row>
    <row r="114" spans="1:12">
      <c r="A114" t="s">
        <v>283</v>
      </c>
      <c r="B114" t="s">
        <v>284</v>
      </c>
      <c r="C114" t="s">
        <v>76</v>
      </c>
      <c r="D114" t="s">
        <v>37</v>
      </c>
      <c r="E114" t="s">
        <v>38</v>
      </c>
      <c r="F114" s="2">
        <v>4783000</v>
      </c>
      <c r="G114" s="3">
        <v>9.75</v>
      </c>
      <c r="H114" s="12">
        <v>45036</v>
      </c>
      <c r="I114" t="s">
        <v>44</v>
      </c>
      <c r="J114" t="s">
        <v>25</v>
      </c>
      <c r="K114" t="s">
        <v>19</v>
      </c>
      <c r="L114" s="2">
        <v>69900</v>
      </c>
    </row>
    <row r="115" spans="1:12">
      <c r="A115" t="s">
        <v>285</v>
      </c>
      <c r="B115" t="s">
        <v>286</v>
      </c>
      <c r="C115" t="s">
        <v>79</v>
      </c>
      <c r="D115" t="s">
        <v>43</v>
      </c>
      <c r="E115" t="s">
        <v>52</v>
      </c>
      <c r="F115" s="2">
        <v>1818000</v>
      </c>
      <c r="G115" s="3">
        <v>13</v>
      </c>
      <c r="H115" s="12">
        <v>45049</v>
      </c>
      <c r="I115" t="s">
        <v>39</v>
      </c>
      <c r="J115" t="s">
        <v>32</v>
      </c>
      <c r="K115" t="s">
        <v>26</v>
      </c>
      <c r="L115" s="2">
        <v>77200</v>
      </c>
    </row>
    <row r="116" spans="1:12">
      <c r="A116" t="s">
        <v>287</v>
      </c>
      <c r="B116" t="s">
        <v>288</v>
      </c>
      <c r="C116" t="s">
        <v>82</v>
      </c>
      <c r="D116" t="s">
        <v>48</v>
      </c>
      <c r="E116" t="s">
        <v>38</v>
      </c>
      <c r="F116" s="2">
        <v>4965000</v>
      </c>
      <c r="G116" s="3">
        <v>9</v>
      </c>
      <c r="H116" s="12">
        <v>45062</v>
      </c>
      <c r="I116" t="s">
        <v>39</v>
      </c>
      <c r="J116" t="s">
        <v>18</v>
      </c>
      <c r="K116" t="s">
        <v>33</v>
      </c>
      <c r="L116" s="2">
        <v>84500</v>
      </c>
    </row>
    <row r="117" spans="1:12">
      <c r="A117" t="s">
        <v>289</v>
      </c>
      <c r="B117" t="s">
        <v>290</v>
      </c>
      <c r="C117" t="s">
        <v>85</v>
      </c>
      <c r="D117" t="s">
        <v>60</v>
      </c>
      <c r="E117" t="s">
        <v>52</v>
      </c>
      <c r="F117" s="2">
        <v>1892000</v>
      </c>
      <c r="G117" s="3">
        <v>12.25</v>
      </c>
      <c r="H117" s="12">
        <v>45075</v>
      </c>
      <c r="I117" t="s">
        <v>17</v>
      </c>
      <c r="J117" t="s">
        <v>25</v>
      </c>
      <c r="K117" t="s">
        <v>19</v>
      </c>
      <c r="L117" s="2">
        <v>91800</v>
      </c>
    </row>
    <row r="118" spans="1:12">
      <c r="A118" t="s">
        <v>291</v>
      </c>
      <c r="B118" t="s">
        <v>292</v>
      </c>
      <c r="C118" t="s">
        <v>88</v>
      </c>
      <c r="D118" t="s">
        <v>15</v>
      </c>
      <c r="E118" t="s">
        <v>16</v>
      </c>
      <c r="F118" s="2">
        <v>2799000</v>
      </c>
      <c r="G118" s="3">
        <v>10</v>
      </c>
      <c r="H118" s="12">
        <v>45088</v>
      </c>
      <c r="I118" t="s">
        <v>44</v>
      </c>
      <c r="J118" t="s">
        <v>18</v>
      </c>
      <c r="K118" t="s">
        <v>26</v>
      </c>
      <c r="L118" s="2">
        <v>99100</v>
      </c>
    </row>
    <row r="119" spans="1:12">
      <c r="A119" t="s">
        <v>293</v>
      </c>
      <c r="B119" t="s">
        <v>294</v>
      </c>
      <c r="C119" t="s">
        <v>91</v>
      </c>
      <c r="D119" t="s">
        <v>23</v>
      </c>
      <c r="E119" t="s">
        <v>24</v>
      </c>
      <c r="F119" s="2">
        <v>842000</v>
      </c>
      <c r="G119" s="3">
        <v>7.75</v>
      </c>
      <c r="H119" s="12">
        <v>45101</v>
      </c>
      <c r="I119" t="s">
        <v>17</v>
      </c>
      <c r="J119" t="s">
        <v>25</v>
      </c>
      <c r="K119" t="s">
        <v>33</v>
      </c>
      <c r="L119" s="2">
        <v>106400</v>
      </c>
    </row>
    <row r="120" spans="1:12">
      <c r="A120" t="s">
        <v>295</v>
      </c>
      <c r="B120" t="s">
        <v>296</v>
      </c>
      <c r="C120" t="s">
        <v>14</v>
      </c>
      <c r="D120" t="s">
        <v>15</v>
      </c>
      <c r="E120" t="s">
        <v>31</v>
      </c>
      <c r="F120" s="2">
        <v>6587000</v>
      </c>
      <c r="G120" s="3">
        <v>8.5</v>
      </c>
      <c r="H120" s="12">
        <v>45114</v>
      </c>
      <c r="I120" t="s">
        <v>39</v>
      </c>
      <c r="J120" t="s">
        <v>32</v>
      </c>
      <c r="K120" t="s">
        <v>19</v>
      </c>
      <c r="L120" s="2">
        <v>113700</v>
      </c>
    </row>
    <row r="121" spans="1:12">
      <c r="A121" t="s">
        <v>297</v>
      </c>
      <c r="B121" t="s">
        <v>298</v>
      </c>
      <c r="C121" t="s">
        <v>22</v>
      </c>
      <c r="D121" t="s">
        <v>23</v>
      </c>
      <c r="E121" t="s">
        <v>24</v>
      </c>
      <c r="F121" s="2">
        <v>880000</v>
      </c>
      <c r="G121" s="3">
        <v>7</v>
      </c>
      <c r="H121" s="12">
        <v>45127</v>
      </c>
      <c r="I121" t="s">
        <v>39</v>
      </c>
      <c r="J121" t="s">
        <v>18</v>
      </c>
      <c r="K121" t="s">
        <v>56</v>
      </c>
      <c r="L121" s="2">
        <v>121000</v>
      </c>
    </row>
    <row r="122" spans="1:12">
      <c r="A122" t="s">
        <v>299</v>
      </c>
      <c r="B122" t="s">
        <v>300</v>
      </c>
      <c r="C122" t="s">
        <v>55</v>
      </c>
      <c r="D122" t="s">
        <v>30</v>
      </c>
      <c r="E122" t="s">
        <v>31</v>
      </c>
      <c r="F122" s="2">
        <v>6933000</v>
      </c>
      <c r="G122" s="3">
        <v>7.75</v>
      </c>
      <c r="H122" s="12">
        <v>45140</v>
      </c>
      <c r="I122" t="s">
        <v>44</v>
      </c>
      <c r="J122" t="s">
        <v>25</v>
      </c>
      <c r="K122" t="s">
        <v>61</v>
      </c>
      <c r="L122" s="2">
        <v>128300</v>
      </c>
    </row>
    <row r="123" spans="1:12">
      <c r="A123" t="s">
        <v>301</v>
      </c>
      <c r="B123" t="s">
        <v>302</v>
      </c>
      <c r="C123" t="s">
        <v>59</v>
      </c>
      <c r="D123" t="s">
        <v>37</v>
      </c>
      <c r="E123" t="s">
        <v>38</v>
      </c>
      <c r="F123" s="2">
        <v>5602000</v>
      </c>
      <c r="G123" s="3">
        <v>9.5</v>
      </c>
      <c r="H123" s="12">
        <v>45153</v>
      </c>
      <c r="I123" t="s">
        <v>39</v>
      </c>
      <c r="J123" t="s">
        <v>32</v>
      </c>
      <c r="K123" t="s">
        <v>55</v>
      </c>
      <c r="L123" s="2">
        <v>135600</v>
      </c>
    </row>
    <row r="124" spans="1:12">
      <c r="A124" t="s">
        <v>303</v>
      </c>
      <c r="B124" t="s">
        <v>304</v>
      </c>
      <c r="C124" t="s">
        <v>64</v>
      </c>
      <c r="D124" t="s">
        <v>43</v>
      </c>
      <c r="E124" t="s">
        <v>52</v>
      </c>
      <c r="F124" s="2">
        <v>2151000</v>
      </c>
      <c r="G124" s="3">
        <v>12.75</v>
      </c>
      <c r="H124" s="12">
        <v>45166</v>
      </c>
      <c r="I124" t="s">
        <v>44</v>
      </c>
      <c r="J124" t="s">
        <v>18</v>
      </c>
      <c r="K124" t="s">
        <v>56</v>
      </c>
      <c r="L124" s="2">
        <v>142900</v>
      </c>
    </row>
    <row r="125" spans="1:12">
      <c r="A125" t="s">
        <v>305</v>
      </c>
      <c r="B125" t="s">
        <v>306</v>
      </c>
      <c r="C125" t="s">
        <v>104</v>
      </c>
      <c r="D125" t="s">
        <v>48</v>
      </c>
      <c r="E125" t="s">
        <v>16</v>
      </c>
      <c r="F125" s="2">
        <v>3128000</v>
      </c>
      <c r="G125" s="3">
        <v>10.5</v>
      </c>
      <c r="H125" s="12">
        <v>45179</v>
      </c>
      <c r="I125" t="s">
        <v>17</v>
      </c>
      <c r="J125" t="s">
        <v>25</v>
      </c>
      <c r="K125" t="s">
        <v>61</v>
      </c>
      <c r="L125" s="2">
        <v>150200</v>
      </c>
    </row>
    <row r="126" spans="1:12">
      <c r="A126" t="s">
        <v>307</v>
      </c>
      <c r="B126" t="s">
        <v>308</v>
      </c>
      <c r="C126" t="s">
        <v>107</v>
      </c>
      <c r="D126" t="s">
        <v>60</v>
      </c>
      <c r="E126" t="s">
        <v>52</v>
      </c>
      <c r="F126" s="2">
        <v>2225000</v>
      </c>
      <c r="G126" s="3">
        <v>12</v>
      </c>
      <c r="H126" s="12">
        <v>45192</v>
      </c>
      <c r="I126" t="s">
        <v>44</v>
      </c>
      <c r="J126" t="s">
        <v>32</v>
      </c>
      <c r="K126" t="s">
        <v>55</v>
      </c>
      <c r="L126" s="2">
        <v>157500</v>
      </c>
    </row>
    <row r="127" spans="1:12">
      <c r="A127" t="s">
        <v>309</v>
      </c>
      <c r="B127" t="s">
        <v>310</v>
      </c>
      <c r="C127" t="s">
        <v>110</v>
      </c>
      <c r="D127" t="s">
        <v>48</v>
      </c>
      <c r="E127" t="s">
        <v>16</v>
      </c>
      <c r="F127" s="2">
        <v>3222000</v>
      </c>
      <c r="G127" s="3">
        <v>9.75</v>
      </c>
      <c r="H127" s="12">
        <v>45205</v>
      </c>
      <c r="I127" t="s">
        <v>17</v>
      </c>
      <c r="J127" t="s">
        <v>25</v>
      </c>
      <c r="K127" t="s">
        <v>56</v>
      </c>
      <c r="L127" s="2">
        <v>164800</v>
      </c>
    </row>
    <row r="128" spans="1:12">
      <c r="A128" t="s">
        <v>311</v>
      </c>
      <c r="B128" t="s">
        <v>312</v>
      </c>
      <c r="C128" t="s">
        <v>113</v>
      </c>
      <c r="D128" t="s">
        <v>60</v>
      </c>
      <c r="E128" t="s">
        <v>24</v>
      </c>
      <c r="F128" s="2">
        <v>1013000</v>
      </c>
      <c r="G128" s="3">
        <v>7.5</v>
      </c>
      <c r="H128" s="12">
        <v>45218</v>
      </c>
      <c r="I128" t="s">
        <v>39</v>
      </c>
      <c r="J128" t="s">
        <v>32</v>
      </c>
      <c r="K128" t="s">
        <v>61</v>
      </c>
      <c r="L128" s="2">
        <v>172100</v>
      </c>
    </row>
    <row r="129" spans="1:12">
      <c r="A129" t="s">
        <v>313</v>
      </c>
      <c r="B129" t="s">
        <v>314</v>
      </c>
      <c r="C129" t="s">
        <v>116</v>
      </c>
      <c r="D129" t="s">
        <v>15</v>
      </c>
      <c r="E129" t="s">
        <v>31</v>
      </c>
      <c r="F129" s="2">
        <v>8144000</v>
      </c>
      <c r="G129" s="3">
        <v>8.25</v>
      </c>
      <c r="H129" s="12">
        <v>45231</v>
      </c>
      <c r="I129" t="s">
        <v>44</v>
      </c>
      <c r="J129" t="s">
        <v>18</v>
      </c>
      <c r="K129" t="s">
        <v>33</v>
      </c>
      <c r="L129" s="2">
        <v>179400</v>
      </c>
    </row>
    <row r="130" spans="1:12">
      <c r="A130" t="s">
        <v>315</v>
      </c>
      <c r="B130" t="s">
        <v>316</v>
      </c>
      <c r="C130" t="s">
        <v>67</v>
      </c>
      <c r="D130" t="s">
        <v>23</v>
      </c>
      <c r="E130" t="s">
        <v>38</v>
      </c>
      <c r="F130" s="2">
        <v>6239000</v>
      </c>
      <c r="G130" s="3">
        <v>10</v>
      </c>
      <c r="H130" s="12">
        <v>45244</v>
      </c>
      <c r="I130" t="s">
        <v>44</v>
      </c>
      <c r="J130" t="s">
        <v>25</v>
      </c>
      <c r="K130" t="s">
        <v>19</v>
      </c>
      <c r="L130" s="2">
        <v>186700</v>
      </c>
    </row>
    <row r="131" spans="1:12">
      <c r="A131" t="s">
        <v>317</v>
      </c>
      <c r="B131" t="s">
        <v>318</v>
      </c>
      <c r="C131" t="s">
        <v>70</v>
      </c>
      <c r="D131" t="s">
        <v>30</v>
      </c>
      <c r="E131" t="s">
        <v>31</v>
      </c>
      <c r="F131" s="2">
        <v>8490000</v>
      </c>
      <c r="G131" s="3">
        <v>7.5</v>
      </c>
      <c r="H131" s="12">
        <v>45257</v>
      </c>
      <c r="I131" t="s">
        <v>44</v>
      </c>
      <c r="J131" t="s">
        <v>32</v>
      </c>
      <c r="K131" t="s">
        <v>26</v>
      </c>
      <c r="L131" s="2">
        <v>194000</v>
      </c>
    </row>
    <row r="132" spans="1:12">
      <c r="A132" t="s">
        <v>319</v>
      </c>
      <c r="B132" t="s">
        <v>320</v>
      </c>
      <c r="C132" t="s">
        <v>73</v>
      </c>
      <c r="D132" t="s">
        <v>37</v>
      </c>
      <c r="E132" t="s">
        <v>38</v>
      </c>
      <c r="F132" s="2">
        <v>6421000</v>
      </c>
      <c r="G132" s="3">
        <v>9.25</v>
      </c>
      <c r="H132" s="12">
        <v>45270</v>
      </c>
      <c r="I132" t="s">
        <v>17</v>
      </c>
      <c r="J132" t="s">
        <v>18</v>
      </c>
      <c r="K132" t="s">
        <v>33</v>
      </c>
      <c r="L132" s="2">
        <v>201300</v>
      </c>
    </row>
    <row r="133" spans="1:12">
      <c r="A133" t="s">
        <v>321</v>
      </c>
      <c r="B133" t="s">
        <v>322</v>
      </c>
      <c r="C133" t="s">
        <v>91</v>
      </c>
      <c r="D133" t="s">
        <v>43</v>
      </c>
      <c r="E133" t="s">
        <v>52</v>
      </c>
      <c r="F133" s="2">
        <v>2484000</v>
      </c>
      <c r="G133" s="3">
        <v>12.5</v>
      </c>
      <c r="H133" s="12">
        <v>45283</v>
      </c>
      <c r="I133" t="s">
        <v>17</v>
      </c>
      <c r="J133" t="s">
        <v>25</v>
      </c>
      <c r="K133" t="s">
        <v>19</v>
      </c>
      <c r="L133" s="2">
        <v>208600</v>
      </c>
    </row>
    <row r="134" spans="1:12">
      <c r="A134" t="s">
        <v>323</v>
      </c>
      <c r="B134" t="s">
        <v>324</v>
      </c>
      <c r="C134" t="s">
        <v>14</v>
      </c>
      <c r="D134" t="s">
        <v>37</v>
      </c>
      <c r="E134" t="s">
        <v>16</v>
      </c>
      <c r="F134" s="2">
        <v>551000</v>
      </c>
      <c r="G134" s="3">
        <v>10.25</v>
      </c>
      <c r="H134" s="12">
        <v>45296</v>
      </c>
      <c r="I134" t="s">
        <v>17</v>
      </c>
      <c r="J134" t="s">
        <v>32</v>
      </c>
      <c r="K134" t="s">
        <v>26</v>
      </c>
      <c r="L134" s="2">
        <v>215900</v>
      </c>
    </row>
    <row r="135" spans="1:12">
      <c r="A135" t="s">
        <v>325</v>
      </c>
      <c r="B135" t="s">
        <v>326</v>
      </c>
      <c r="C135" t="s">
        <v>22</v>
      </c>
      <c r="D135" t="s">
        <v>43</v>
      </c>
      <c r="E135" t="s">
        <v>24</v>
      </c>
      <c r="F135" s="2">
        <v>1146000</v>
      </c>
      <c r="G135" s="3">
        <v>8</v>
      </c>
      <c r="H135" s="12">
        <v>45309</v>
      </c>
      <c r="I135" t="s">
        <v>39</v>
      </c>
      <c r="J135" t="s">
        <v>18</v>
      </c>
      <c r="K135" t="s">
        <v>33</v>
      </c>
      <c r="L135" s="2">
        <v>223200</v>
      </c>
    </row>
    <row r="136" spans="1:12">
      <c r="A136" t="s">
        <v>327</v>
      </c>
      <c r="B136" t="s">
        <v>328</v>
      </c>
      <c r="C136" t="s">
        <v>29</v>
      </c>
      <c r="D136" t="s">
        <v>48</v>
      </c>
      <c r="E136" t="s">
        <v>16</v>
      </c>
      <c r="F136" s="2">
        <v>645000</v>
      </c>
      <c r="G136" s="3">
        <v>9.5</v>
      </c>
      <c r="H136" s="12">
        <v>45322</v>
      </c>
      <c r="I136" t="s">
        <v>44</v>
      </c>
      <c r="J136" t="s">
        <v>32</v>
      </c>
      <c r="K136" t="s">
        <v>19</v>
      </c>
      <c r="L136" s="2">
        <v>230500</v>
      </c>
    </row>
    <row r="137" spans="1:12">
      <c r="A137" t="s">
        <v>329</v>
      </c>
      <c r="B137" t="s">
        <v>330</v>
      </c>
      <c r="C137" t="s">
        <v>36</v>
      </c>
      <c r="D137" t="s">
        <v>60</v>
      </c>
      <c r="E137" t="s">
        <v>24</v>
      </c>
      <c r="F137" s="2">
        <v>1184000</v>
      </c>
      <c r="G137" s="3">
        <v>7.25</v>
      </c>
      <c r="H137" s="12">
        <v>45335</v>
      </c>
      <c r="I137" t="s">
        <v>17</v>
      </c>
      <c r="J137" t="s">
        <v>18</v>
      </c>
      <c r="K137" t="s">
        <v>56</v>
      </c>
      <c r="L137" s="2">
        <v>237800</v>
      </c>
    </row>
    <row r="138" spans="1:12">
      <c r="A138" t="s">
        <v>331</v>
      </c>
      <c r="B138" t="s">
        <v>332</v>
      </c>
      <c r="C138" t="s">
        <v>42</v>
      </c>
      <c r="D138" t="s">
        <v>15</v>
      </c>
      <c r="E138" t="s">
        <v>31</v>
      </c>
      <c r="F138" s="2">
        <v>9701000</v>
      </c>
      <c r="G138" s="3">
        <v>8</v>
      </c>
      <c r="H138" s="12">
        <v>45348</v>
      </c>
      <c r="I138" t="s">
        <v>44</v>
      </c>
      <c r="J138" t="s">
        <v>25</v>
      </c>
      <c r="K138" t="s">
        <v>61</v>
      </c>
      <c r="L138" s="2">
        <v>245100</v>
      </c>
    </row>
    <row r="139" spans="1:12">
      <c r="A139" t="s">
        <v>333</v>
      </c>
      <c r="B139" t="s">
        <v>334</v>
      </c>
      <c r="C139" t="s">
        <v>47</v>
      </c>
      <c r="D139" t="s">
        <v>23</v>
      </c>
      <c r="E139" t="s">
        <v>38</v>
      </c>
      <c r="F139" s="2">
        <v>1058000</v>
      </c>
      <c r="G139" s="3">
        <v>9.75</v>
      </c>
      <c r="H139" s="12">
        <v>45361</v>
      </c>
      <c r="I139" t="s">
        <v>17</v>
      </c>
      <c r="J139" t="s">
        <v>32</v>
      </c>
      <c r="K139" t="s">
        <v>55</v>
      </c>
      <c r="L139" s="2">
        <v>252400</v>
      </c>
    </row>
    <row r="140" spans="1:12">
      <c r="A140" t="s">
        <v>335</v>
      </c>
      <c r="B140" t="s">
        <v>336</v>
      </c>
      <c r="C140" t="s">
        <v>51</v>
      </c>
      <c r="D140" t="s">
        <v>30</v>
      </c>
      <c r="E140" t="s">
        <v>52</v>
      </c>
      <c r="F140" s="2">
        <v>243000</v>
      </c>
      <c r="G140" s="3">
        <v>13</v>
      </c>
      <c r="H140" s="12">
        <v>45374</v>
      </c>
      <c r="I140" t="s">
        <v>39</v>
      </c>
      <c r="J140" t="s">
        <v>18</v>
      </c>
      <c r="K140" t="s">
        <v>56</v>
      </c>
      <c r="L140" s="2">
        <v>259700</v>
      </c>
    </row>
    <row r="141" spans="1:12">
      <c r="A141" t="s">
        <v>337</v>
      </c>
      <c r="B141" t="s">
        <v>338</v>
      </c>
      <c r="C141" t="s">
        <v>55</v>
      </c>
      <c r="D141" t="s">
        <v>23</v>
      </c>
      <c r="E141" t="s">
        <v>38</v>
      </c>
      <c r="F141" s="2">
        <v>1240000</v>
      </c>
      <c r="G141" s="3">
        <v>9</v>
      </c>
      <c r="H141" s="12">
        <v>45387</v>
      </c>
      <c r="I141" t="s">
        <v>17</v>
      </c>
      <c r="J141" t="s">
        <v>25</v>
      </c>
      <c r="K141" t="s">
        <v>61</v>
      </c>
      <c r="L141" s="2">
        <v>267000</v>
      </c>
    </row>
    <row r="142" spans="1:12">
      <c r="A142" t="s">
        <v>339</v>
      </c>
      <c r="B142" t="s">
        <v>340</v>
      </c>
      <c r="C142" t="s">
        <v>59</v>
      </c>
      <c r="D142" t="s">
        <v>30</v>
      </c>
      <c r="E142" t="s">
        <v>52</v>
      </c>
      <c r="F142" s="2">
        <v>317000</v>
      </c>
      <c r="G142" s="3">
        <v>12.25</v>
      </c>
      <c r="H142" s="12">
        <v>45400</v>
      </c>
      <c r="I142" t="s">
        <v>44</v>
      </c>
      <c r="J142" t="s">
        <v>32</v>
      </c>
      <c r="K142" t="s">
        <v>55</v>
      </c>
      <c r="L142" s="2">
        <v>274300</v>
      </c>
    </row>
    <row r="143" spans="1:12">
      <c r="A143" t="s">
        <v>341</v>
      </c>
      <c r="B143" t="s">
        <v>342</v>
      </c>
      <c r="C143" t="s">
        <v>64</v>
      </c>
      <c r="D143" t="s">
        <v>37</v>
      </c>
      <c r="E143" t="s">
        <v>16</v>
      </c>
      <c r="F143" s="2">
        <v>974000</v>
      </c>
      <c r="G143" s="3">
        <v>10</v>
      </c>
      <c r="H143" s="12">
        <v>45413</v>
      </c>
      <c r="I143" t="s">
        <v>44</v>
      </c>
      <c r="J143" t="s">
        <v>18</v>
      </c>
      <c r="K143" t="s">
        <v>56</v>
      </c>
      <c r="L143" s="2">
        <v>281600</v>
      </c>
    </row>
    <row r="144" spans="1:12">
      <c r="A144" t="s">
        <v>343</v>
      </c>
      <c r="B144" t="s">
        <v>344</v>
      </c>
      <c r="C144" t="s">
        <v>67</v>
      </c>
      <c r="D144" t="s">
        <v>43</v>
      </c>
      <c r="E144" t="s">
        <v>24</v>
      </c>
      <c r="F144" s="2">
        <v>1317000</v>
      </c>
      <c r="G144" s="3">
        <v>7.75</v>
      </c>
      <c r="H144" s="12">
        <v>45426</v>
      </c>
      <c r="I144" t="s">
        <v>39</v>
      </c>
      <c r="J144" t="s">
        <v>25</v>
      </c>
      <c r="K144" t="s">
        <v>61</v>
      </c>
      <c r="L144" s="2">
        <v>288900</v>
      </c>
    </row>
    <row r="145" spans="1:12">
      <c r="A145" t="s">
        <v>345</v>
      </c>
      <c r="B145" t="s">
        <v>346</v>
      </c>
      <c r="C145" t="s">
        <v>70</v>
      </c>
      <c r="D145" t="s">
        <v>48</v>
      </c>
      <c r="E145" t="s">
        <v>31</v>
      </c>
      <c r="F145" s="2">
        <v>2912000</v>
      </c>
      <c r="G145" s="3">
        <v>8.5</v>
      </c>
      <c r="H145" s="12">
        <v>45439</v>
      </c>
      <c r="I145" t="s">
        <v>39</v>
      </c>
      <c r="J145" t="s">
        <v>18</v>
      </c>
      <c r="K145" t="s">
        <v>33</v>
      </c>
      <c r="L145" s="2">
        <v>296200</v>
      </c>
    </row>
    <row r="146" spans="1:12">
      <c r="A146" t="s">
        <v>347</v>
      </c>
      <c r="B146" t="s">
        <v>348</v>
      </c>
      <c r="C146" t="s">
        <v>73</v>
      </c>
      <c r="D146" t="s">
        <v>60</v>
      </c>
      <c r="E146" t="s">
        <v>24</v>
      </c>
      <c r="F146" s="2">
        <v>1355000</v>
      </c>
      <c r="G146" s="3">
        <v>7</v>
      </c>
      <c r="H146" s="12">
        <v>45452</v>
      </c>
      <c r="I146" t="s">
        <v>44</v>
      </c>
      <c r="J146" t="s">
        <v>25</v>
      </c>
      <c r="K146" t="s">
        <v>19</v>
      </c>
      <c r="L146" s="2">
        <v>303500</v>
      </c>
    </row>
    <row r="147" spans="1:12">
      <c r="A147" t="s">
        <v>349</v>
      </c>
      <c r="B147" t="s">
        <v>350</v>
      </c>
      <c r="C147" t="s">
        <v>76</v>
      </c>
      <c r="D147" t="s">
        <v>15</v>
      </c>
      <c r="E147" t="s">
        <v>31</v>
      </c>
      <c r="F147" s="2">
        <v>3258000</v>
      </c>
      <c r="G147" s="3">
        <v>7.75</v>
      </c>
      <c r="H147" s="12">
        <v>45465</v>
      </c>
      <c r="I147" t="s">
        <v>44</v>
      </c>
      <c r="J147" t="s">
        <v>32</v>
      </c>
      <c r="K147" t="s">
        <v>26</v>
      </c>
      <c r="L147" s="2">
        <v>310800</v>
      </c>
    </row>
    <row r="148" spans="1:12">
      <c r="A148" t="s">
        <v>351</v>
      </c>
      <c r="B148" t="s">
        <v>352</v>
      </c>
      <c r="C148" t="s">
        <v>79</v>
      </c>
      <c r="D148" t="s">
        <v>60</v>
      </c>
      <c r="E148" t="s">
        <v>38</v>
      </c>
      <c r="F148" s="2">
        <v>1877000</v>
      </c>
      <c r="G148" s="3">
        <v>9.5</v>
      </c>
      <c r="H148" s="12">
        <v>45478</v>
      </c>
      <c r="I148" t="s">
        <v>44</v>
      </c>
      <c r="J148" t="s">
        <v>18</v>
      </c>
      <c r="K148" t="s">
        <v>33</v>
      </c>
      <c r="L148" s="2">
        <v>318100</v>
      </c>
    </row>
    <row r="149" spans="1:12">
      <c r="A149" t="s">
        <v>353</v>
      </c>
      <c r="B149" t="s">
        <v>354</v>
      </c>
      <c r="C149" t="s">
        <v>82</v>
      </c>
      <c r="D149" t="s">
        <v>15</v>
      </c>
      <c r="E149" t="s">
        <v>52</v>
      </c>
      <c r="F149" s="2">
        <v>576000</v>
      </c>
      <c r="G149" s="3">
        <v>12.75</v>
      </c>
      <c r="H149" s="12">
        <v>45491</v>
      </c>
      <c r="I149" t="s">
        <v>17</v>
      </c>
      <c r="J149" t="s">
        <v>25</v>
      </c>
      <c r="K149" t="s">
        <v>19</v>
      </c>
      <c r="L149" s="2">
        <v>325400</v>
      </c>
    </row>
    <row r="150" spans="1:12">
      <c r="A150" t="s">
        <v>355</v>
      </c>
      <c r="B150" t="s">
        <v>356</v>
      </c>
      <c r="C150" t="s">
        <v>85</v>
      </c>
      <c r="D150" t="s">
        <v>23</v>
      </c>
      <c r="E150" t="s">
        <v>16</v>
      </c>
      <c r="F150" s="2">
        <v>1303000</v>
      </c>
      <c r="G150" s="3">
        <v>10.5</v>
      </c>
      <c r="H150" s="12">
        <v>45504</v>
      </c>
      <c r="I150" t="s">
        <v>39</v>
      </c>
      <c r="J150" t="s">
        <v>32</v>
      </c>
      <c r="K150" t="s">
        <v>26</v>
      </c>
      <c r="L150" s="2">
        <v>332700</v>
      </c>
    </row>
    <row r="151" spans="1:12">
      <c r="A151" t="s">
        <v>357</v>
      </c>
      <c r="B151" t="s">
        <v>358</v>
      </c>
      <c r="C151" t="s">
        <v>88</v>
      </c>
      <c r="D151" t="s">
        <v>30</v>
      </c>
      <c r="E151" t="s">
        <v>52</v>
      </c>
      <c r="F151" s="2">
        <v>650000</v>
      </c>
      <c r="G151" s="3">
        <v>12</v>
      </c>
      <c r="H151" s="12">
        <v>45517</v>
      </c>
      <c r="I151" t="s">
        <v>39</v>
      </c>
      <c r="J151" t="s">
        <v>18</v>
      </c>
      <c r="K151" t="s">
        <v>33</v>
      </c>
      <c r="L151" s="2">
        <v>340000</v>
      </c>
    </row>
    <row r="152" spans="1:12">
      <c r="A152" t="s">
        <v>359</v>
      </c>
      <c r="B152" t="s">
        <v>360</v>
      </c>
      <c r="C152" t="s">
        <v>91</v>
      </c>
      <c r="D152" t="s">
        <v>37</v>
      </c>
      <c r="E152" t="s">
        <v>16</v>
      </c>
      <c r="F152" s="2">
        <v>1397000</v>
      </c>
      <c r="G152" s="3">
        <v>9.75</v>
      </c>
      <c r="H152" s="12">
        <v>45530</v>
      </c>
      <c r="I152" t="s">
        <v>39</v>
      </c>
      <c r="J152" t="s">
        <v>25</v>
      </c>
      <c r="K152" t="s">
        <v>19</v>
      </c>
      <c r="L152" s="2">
        <v>347300</v>
      </c>
    </row>
    <row r="153" spans="1:12">
      <c r="A153" t="s">
        <v>361</v>
      </c>
      <c r="B153" t="s">
        <v>362</v>
      </c>
      <c r="C153" t="s">
        <v>14</v>
      </c>
      <c r="D153" t="s">
        <v>43</v>
      </c>
      <c r="E153" t="s">
        <v>24</v>
      </c>
      <c r="F153" s="2">
        <v>1488000</v>
      </c>
      <c r="G153" s="3">
        <v>7.5</v>
      </c>
      <c r="H153" s="12">
        <v>45543</v>
      </c>
      <c r="I153" t="s">
        <v>39</v>
      </c>
      <c r="J153" t="s">
        <v>32</v>
      </c>
      <c r="K153" t="s">
        <v>56</v>
      </c>
      <c r="L153" s="2">
        <v>354600</v>
      </c>
    </row>
    <row r="154" spans="1:12">
      <c r="A154" t="s">
        <v>363</v>
      </c>
      <c r="B154" t="s">
        <v>364</v>
      </c>
      <c r="C154" t="s">
        <v>22</v>
      </c>
      <c r="D154" t="s">
        <v>48</v>
      </c>
      <c r="E154" t="s">
        <v>31</v>
      </c>
      <c r="F154" s="2">
        <v>4469000</v>
      </c>
      <c r="G154" s="3">
        <v>8.25</v>
      </c>
      <c r="H154" s="12">
        <v>45556</v>
      </c>
      <c r="I154" t="s">
        <v>44</v>
      </c>
      <c r="J154" t="s">
        <v>25</v>
      </c>
      <c r="K154" t="s">
        <v>61</v>
      </c>
      <c r="L154" s="2">
        <v>361900</v>
      </c>
    </row>
    <row r="155" spans="1:12">
      <c r="A155" t="s">
        <v>365</v>
      </c>
      <c r="B155" t="s">
        <v>366</v>
      </c>
      <c r="C155" t="s">
        <v>55</v>
      </c>
      <c r="D155" t="s">
        <v>43</v>
      </c>
      <c r="E155" t="s">
        <v>38</v>
      </c>
      <c r="F155" s="2">
        <v>2514000</v>
      </c>
      <c r="G155" s="3">
        <v>10</v>
      </c>
      <c r="H155" s="12">
        <v>45569</v>
      </c>
      <c r="I155" t="s">
        <v>39</v>
      </c>
      <c r="J155" t="s">
        <v>32</v>
      </c>
      <c r="K155" t="s">
        <v>55</v>
      </c>
      <c r="L155" s="2">
        <v>369200</v>
      </c>
    </row>
    <row r="156" spans="1:12">
      <c r="A156" t="s">
        <v>367</v>
      </c>
      <c r="B156" t="s">
        <v>368</v>
      </c>
      <c r="C156" t="s">
        <v>59</v>
      </c>
      <c r="D156" t="s">
        <v>48</v>
      </c>
      <c r="E156" t="s">
        <v>31</v>
      </c>
      <c r="F156" s="2">
        <v>4815000</v>
      </c>
      <c r="G156" s="3">
        <v>7.5</v>
      </c>
      <c r="H156" s="12">
        <v>45582</v>
      </c>
      <c r="I156" t="s">
        <v>39</v>
      </c>
      <c r="J156" t="s">
        <v>18</v>
      </c>
      <c r="K156" t="s">
        <v>56</v>
      </c>
      <c r="L156" s="2">
        <v>376500</v>
      </c>
    </row>
    <row r="157" spans="1:12">
      <c r="A157" t="s">
        <v>369</v>
      </c>
      <c r="B157" t="s">
        <v>370</v>
      </c>
      <c r="C157" t="s">
        <v>64</v>
      </c>
      <c r="D157" t="s">
        <v>60</v>
      </c>
      <c r="E157" t="s">
        <v>38</v>
      </c>
      <c r="F157" s="2">
        <v>2696000</v>
      </c>
      <c r="G157" s="3">
        <v>9.25</v>
      </c>
      <c r="H157" s="12">
        <v>45595</v>
      </c>
      <c r="I157" t="s">
        <v>17</v>
      </c>
      <c r="J157" t="s">
        <v>25</v>
      </c>
      <c r="K157" t="s">
        <v>61</v>
      </c>
      <c r="L157" s="2">
        <v>383800</v>
      </c>
    </row>
    <row r="158" spans="1:12">
      <c r="A158" t="s">
        <v>371</v>
      </c>
      <c r="B158" t="s">
        <v>372</v>
      </c>
      <c r="C158" t="s">
        <v>104</v>
      </c>
      <c r="D158" t="s">
        <v>15</v>
      </c>
      <c r="E158" t="s">
        <v>52</v>
      </c>
      <c r="F158" s="2">
        <v>909000</v>
      </c>
      <c r="G158" s="3">
        <v>12.5</v>
      </c>
      <c r="H158" s="12">
        <v>45608</v>
      </c>
      <c r="I158" t="s">
        <v>39</v>
      </c>
      <c r="J158" t="s">
        <v>32</v>
      </c>
      <c r="K158" t="s">
        <v>55</v>
      </c>
      <c r="L158" s="2">
        <v>391100</v>
      </c>
    </row>
    <row r="159" spans="1:12">
      <c r="A159" t="s">
        <v>373</v>
      </c>
      <c r="B159" t="s">
        <v>374</v>
      </c>
      <c r="C159" t="s">
        <v>107</v>
      </c>
      <c r="D159" t="s">
        <v>23</v>
      </c>
      <c r="E159" t="s">
        <v>16</v>
      </c>
      <c r="F159" s="2">
        <v>1726000</v>
      </c>
      <c r="G159" s="3">
        <v>10.25</v>
      </c>
      <c r="H159" s="12">
        <v>45621</v>
      </c>
      <c r="I159" t="s">
        <v>44</v>
      </c>
      <c r="J159" t="s">
        <v>18</v>
      </c>
      <c r="K159" t="s">
        <v>56</v>
      </c>
      <c r="L159" s="2">
        <v>398400</v>
      </c>
    </row>
    <row r="160" spans="1:12">
      <c r="A160" t="s">
        <v>375</v>
      </c>
      <c r="B160" t="s">
        <v>376</v>
      </c>
      <c r="C160" t="s">
        <v>110</v>
      </c>
      <c r="D160" t="s">
        <v>30</v>
      </c>
      <c r="E160" t="s">
        <v>24</v>
      </c>
      <c r="F160" s="2">
        <v>121000</v>
      </c>
      <c r="G160" s="3">
        <v>8</v>
      </c>
      <c r="H160" s="12">
        <v>45634</v>
      </c>
      <c r="I160" t="s">
        <v>39</v>
      </c>
      <c r="J160" t="s">
        <v>25</v>
      </c>
      <c r="K160" t="s">
        <v>61</v>
      </c>
      <c r="L160" s="2">
        <v>405700</v>
      </c>
    </row>
    <row r="161" spans="1:12">
      <c r="A161" t="s">
        <v>377</v>
      </c>
      <c r="B161" t="s">
        <v>378</v>
      </c>
      <c r="C161" t="s">
        <v>113</v>
      </c>
      <c r="D161" t="s">
        <v>37</v>
      </c>
      <c r="E161" t="s">
        <v>16</v>
      </c>
      <c r="F161" s="2">
        <v>1820000</v>
      </c>
      <c r="G161" s="3">
        <v>9.5</v>
      </c>
      <c r="H161" s="12">
        <v>45647</v>
      </c>
      <c r="I161" t="s">
        <v>44</v>
      </c>
      <c r="J161" t="s">
        <v>32</v>
      </c>
      <c r="K161" t="s">
        <v>33</v>
      </c>
      <c r="L161" s="2">
        <v>413000</v>
      </c>
    </row>
    <row r="162" spans="1:12">
      <c r="A162" t="s">
        <v>379</v>
      </c>
      <c r="B162" t="s">
        <v>380</v>
      </c>
      <c r="C162" t="s">
        <v>116</v>
      </c>
      <c r="D162" t="s">
        <v>30</v>
      </c>
      <c r="E162" t="s">
        <v>24</v>
      </c>
      <c r="F162" s="2">
        <v>159000</v>
      </c>
      <c r="G162" s="3">
        <v>7.25</v>
      </c>
      <c r="H162" s="12">
        <v>45660</v>
      </c>
      <c r="I162" t="s">
        <v>17</v>
      </c>
      <c r="J162" t="s">
        <v>18</v>
      </c>
      <c r="K162" t="s">
        <v>19</v>
      </c>
      <c r="L162" s="2">
        <v>420300</v>
      </c>
    </row>
    <row r="163" spans="1:12">
      <c r="A163" t="s">
        <v>381</v>
      </c>
      <c r="B163" t="s">
        <v>382</v>
      </c>
      <c r="C163" t="s">
        <v>67</v>
      </c>
      <c r="D163" t="s">
        <v>37</v>
      </c>
      <c r="E163" t="s">
        <v>31</v>
      </c>
      <c r="F163" s="2">
        <v>6026000</v>
      </c>
      <c r="G163" s="3">
        <v>8</v>
      </c>
      <c r="H163" s="12">
        <v>45673</v>
      </c>
      <c r="I163" t="s">
        <v>39</v>
      </c>
      <c r="J163" t="s">
        <v>32</v>
      </c>
      <c r="K163" t="s">
        <v>26</v>
      </c>
      <c r="L163" s="2">
        <v>427600</v>
      </c>
    </row>
    <row r="164" spans="1:12">
      <c r="A164" t="s">
        <v>383</v>
      </c>
      <c r="B164" t="s">
        <v>384</v>
      </c>
      <c r="C164" t="s">
        <v>70</v>
      </c>
      <c r="D164" t="s">
        <v>43</v>
      </c>
      <c r="E164" t="s">
        <v>38</v>
      </c>
      <c r="F164" s="2">
        <v>3333000</v>
      </c>
      <c r="G164" s="3">
        <v>9.75</v>
      </c>
      <c r="H164" s="12">
        <v>45686</v>
      </c>
      <c r="I164" t="s">
        <v>44</v>
      </c>
      <c r="J164" t="s">
        <v>18</v>
      </c>
      <c r="K164" t="s">
        <v>33</v>
      </c>
      <c r="L164" s="2">
        <v>434900</v>
      </c>
    </row>
    <row r="165" spans="1:12">
      <c r="A165" t="s">
        <v>385</v>
      </c>
      <c r="B165" t="s">
        <v>386</v>
      </c>
      <c r="C165" t="s">
        <v>73</v>
      </c>
      <c r="D165" t="s">
        <v>48</v>
      </c>
      <c r="E165" t="s">
        <v>52</v>
      </c>
      <c r="F165" s="2">
        <v>1168000</v>
      </c>
      <c r="G165" s="3">
        <v>13</v>
      </c>
      <c r="H165" s="12">
        <v>45699</v>
      </c>
      <c r="I165" t="s">
        <v>17</v>
      </c>
      <c r="J165" t="s">
        <v>25</v>
      </c>
      <c r="K165" t="s">
        <v>19</v>
      </c>
      <c r="L165" s="2">
        <v>442200</v>
      </c>
    </row>
    <row r="166" spans="1:12">
      <c r="A166" t="s">
        <v>387</v>
      </c>
      <c r="B166" t="s">
        <v>388</v>
      </c>
      <c r="C166" t="s">
        <v>91</v>
      </c>
      <c r="D166" t="s">
        <v>60</v>
      </c>
      <c r="E166" t="s">
        <v>38</v>
      </c>
      <c r="F166" s="2">
        <v>3515000</v>
      </c>
      <c r="G166" s="3">
        <v>9</v>
      </c>
      <c r="H166" s="12">
        <v>45712</v>
      </c>
      <c r="I166" t="s">
        <v>44</v>
      </c>
      <c r="J166" t="s">
        <v>32</v>
      </c>
      <c r="K166" t="s">
        <v>26</v>
      </c>
      <c r="L166" s="2">
        <v>49500</v>
      </c>
    </row>
    <row r="167" spans="1:12">
      <c r="A167" t="s">
        <v>389</v>
      </c>
      <c r="B167" t="s">
        <v>390</v>
      </c>
      <c r="C167" t="s">
        <v>14</v>
      </c>
      <c r="D167" t="s">
        <v>15</v>
      </c>
      <c r="E167" t="s">
        <v>52</v>
      </c>
      <c r="F167" s="2">
        <v>1242000</v>
      </c>
      <c r="G167" s="3">
        <v>12.25</v>
      </c>
      <c r="H167" s="12">
        <v>45725</v>
      </c>
      <c r="I167" t="s">
        <v>17</v>
      </c>
      <c r="J167" t="s">
        <v>18</v>
      </c>
      <c r="K167" t="s">
        <v>33</v>
      </c>
      <c r="L167" s="2">
        <v>56800</v>
      </c>
    </row>
    <row r="168" spans="1:12">
      <c r="A168" t="s">
        <v>391</v>
      </c>
      <c r="B168" t="s">
        <v>392</v>
      </c>
      <c r="C168" t="s">
        <v>22</v>
      </c>
      <c r="D168" t="s">
        <v>23</v>
      </c>
      <c r="E168" t="s">
        <v>16</v>
      </c>
      <c r="F168" s="2">
        <v>2149000</v>
      </c>
      <c r="G168" s="3">
        <v>10</v>
      </c>
      <c r="H168" s="12">
        <v>45738</v>
      </c>
      <c r="I168" t="s">
        <v>39</v>
      </c>
      <c r="J168" t="s">
        <v>25</v>
      </c>
      <c r="K168" t="s">
        <v>19</v>
      </c>
      <c r="L168" s="2">
        <v>64100</v>
      </c>
    </row>
    <row r="169" spans="1:12">
      <c r="A169" t="s">
        <v>393</v>
      </c>
      <c r="B169" t="s">
        <v>394</v>
      </c>
      <c r="C169" t="s">
        <v>29</v>
      </c>
      <c r="D169" t="s">
        <v>15</v>
      </c>
      <c r="E169" t="s">
        <v>24</v>
      </c>
      <c r="F169" s="2">
        <v>292000</v>
      </c>
      <c r="G169" s="3">
        <v>7.75</v>
      </c>
      <c r="H169" s="12">
        <v>45751</v>
      </c>
      <c r="I169" t="s">
        <v>17</v>
      </c>
      <c r="J169" t="s">
        <v>32</v>
      </c>
      <c r="K169" t="s">
        <v>56</v>
      </c>
      <c r="L169" s="2">
        <v>71400</v>
      </c>
    </row>
    <row r="170" spans="1:12">
      <c r="A170" t="s">
        <v>395</v>
      </c>
      <c r="B170" t="s">
        <v>396</v>
      </c>
      <c r="C170" t="s">
        <v>36</v>
      </c>
      <c r="D170" t="s">
        <v>23</v>
      </c>
      <c r="E170" t="s">
        <v>31</v>
      </c>
      <c r="F170" s="2">
        <v>7237000</v>
      </c>
      <c r="G170" s="3">
        <v>8.5</v>
      </c>
      <c r="H170" s="12">
        <v>45764</v>
      </c>
      <c r="I170" t="s">
        <v>39</v>
      </c>
      <c r="J170" t="s">
        <v>18</v>
      </c>
      <c r="K170" t="s">
        <v>61</v>
      </c>
      <c r="L170" s="2">
        <v>78700</v>
      </c>
    </row>
    <row r="171" spans="1:12">
      <c r="A171" t="s">
        <v>397</v>
      </c>
      <c r="B171" t="s">
        <v>398</v>
      </c>
      <c r="C171" t="s">
        <v>42</v>
      </c>
      <c r="D171" t="s">
        <v>30</v>
      </c>
      <c r="E171" t="s">
        <v>24</v>
      </c>
      <c r="F171" s="2">
        <v>330000</v>
      </c>
      <c r="G171" s="3">
        <v>7</v>
      </c>
      <c r="H171" s="12">
        <v>45777</v>
      </c>
      <c r="I171" t="s">
        <v>17</v>
      </c>
      <c r="J171" t="s">
        <v>25</v>
      </c>
      <c r="K171" t="s">
        <v>55</v>
      </c>
      <c r="L171" s="2">
        <v>86000</v>
      </c>
    </row>
    <row r="172" spans="1:12">
      <c r="A172" t="s">
        <v>399</v>
      </c>
      <c r="B172" t="s">
        <v>400</v>
      </c>
      <c r="C172" t="s">
        <v>47</v>
      </c>
      <c r="D172" t="s">
        <v>37</v>
      </c>
      <c r="E172" t="s">
        <v>31</v>
      </c>
      <c r="F172" s="2">
        <v>7583000</v>
      </c>
      <c r="G172" s="3">
        <v>7.75</v>
      </c>
      <c r="H172" s="12">
        <v>45790</v>
      </c>
      <c r="I172" t="s">
        <v>17</v>
      </c>
      <c r="J172" t="s">
        <v>18</v>
      </c>
      <c r="K172" t="s">
        <v>56</v>
      </c>
      <c r="L172" s="2">
        <v>93300</v>
      </c>
    </row>
    <row r="173" spans="1:12">
      <c r="A173" t="s">
        <v>401</v>
      </c>
      <c r="B173" t="s">
        <v>402</v>
      </c>
      <c r="C173" t="s">
        <v>51</v>
      </c>
      <c r="D173" t="s">
        <v>43</v>
      </c>
      <c r="E173" t="s">
        <v>38</v>
      </c>
      <c r="F173" s="2">
        <v>4152000</v>
      </c>
      <c r="G173" s="3">
        <v>9.5</v>
      </c>
      <c r="H173" s="12">
        <v>45803</v>
      </c>
      <c r="I173" t="s">
        <v>17</v>
      </c>
      <c r="J173" t="s">
        <v>25</v>
      </c>
      <c r="K173" t="s">
        <v>61</v>
      </c>
      <c r="L173" s="2">
        <v>100600</v>
      </c>
    </row>
    <row r="174" spans="1:12">
      <c r="A174" t="s">
        <v>403</v>
      </c>
      <c r="B174" t="s">
        <v>404</v>
      </c>
      <c r="C174" t="s">
        <v>55</v>
      </c>
      <c r="D174" t="s">
        <v>48</v>
      </c>
      <c r="E174" t="s">
        <v>52</v>
      </c>
      <c r="F174" s="2">
        <v>1501000</v>
      </c>
      <c r="G174" s="3">
        <v>12.75</v>
      </c>
      <c r="H174" s="12">
        <v>45816</v>
      </c>
      <c r="I174" t="s">
        <v>17</v>
      </c>
      <c r="J174" t="s">
        <v>32</v>
      </c>
      <c r="K174" t="s">
        <v>55</v>
      </c>
      <c r="L174" s="2">
        <v>107900</v>
      </c>
    </row>
    <row r="175" spans="1:12">
      <c r="A175" t="s">
        <v>405</v>
      </c>
      <c r="B175" t="s">
        <v>406</v>
      </c>
      <c r="C175" t="s">
        <v>59</v>
      </c>
      <c r="D175" t="s">
        <v>60</v>
      </c>
      <c r="E175" t="s">
        <v>16</v>
      </c>
      <c r="F175" s="2">
        <v>2478000</v>
      </c>
      <c r="G175" s="3">
        <v>10.5</v>
      </c>
      <c r="H175" s="12">
        <v>45829</v>
      </c>
      <c r="I175" t="s">
        <v>39</v>
      </c>
      <c r="J175" t="s">
        <v>18</v>
      </c>
      <c r="K175" t="s">
        <v>56</v>
      </c>
      <c r="L175" s="2">
        <v>115200</v>
      </c>
    </row>
    <row r="176" spans="1:12">
      <c r="A176" t="s">
        <v>407</v>
      </c>
      <c r="B176" t="s">
        <v>408</v>
      </c>
      <c r="C176" t="s">
        <v>64</v>
      </c>
      <c r="D176" t="s">
        <v>48</v>
      </c>
      <c r="E176" t="s">
        <v>52</v>
      </c>
      <c r="F176" s="2">
        <v>1575000</v>
      </c>
      <c r="G176" s="3">
        <v>12</v>
      </c>
      <c r="H176" s="12">
        <v>45842</v>
      </c>
      <c r="I176" t="s">
        <v>39</v>
      </c>
      <c r="J176" t="s">
        <v>25</v>
      </c>
      <c r="K176" t="s">
        <v>61</v>
      </c>
      <c r="L176" s="2">
        <v>122500</v>
      </c>
    </row>
    <row r="177" spans="1:12">
      <c r="A177" t="s">
        <v>409</v>
      </c>
      <c r="B177" t="s">
        <v>410</v>
      </c>
      <c r="C177" t="s">
        <v>67</v>
      </c>
      <c r="D177" t="s">
        <v>60</v>
      </c>
      <c r="E177" t="s">
        <v>16</v>
      </c>
      <c r="F177" s="2">
        <v>2572000</v>
      </c>
      <c r="G177" s="3">
        <v>9.75</v>
      </c>
      <c r="H177" s="12">
        <v>45855</v>
      </c>
      <c r="I177" t="s">
        <v>44</v>
      </c>
      <c r="J177" t="s">
        <v>32</v>
      </c>
      <c r="K177" t="s">
        <v>33</v>
      </c>
      <c r="L177" s="2">
        <v>129800</v>
      </c>
    </row>
    <row r="178" spans="1:12">
      <c r="A178" t="s">
        <v>411</v>
      </c>
      <c r="B178" t="s">
        <v>412</v>
      </c>
      <c r="C178" t="s">
        <v>70</v>
      </c>
      <c r="D178" t="s">
        <v>15</v>
      </c>
      <c r="E178" t="s">
        <v>24</v>
      </c>
      <c r="F178" s="2">
        <v>463000</v>
      </c>
      <c r="G178" s="3">
        <v>7.5</v>
      </c>
      <c r="H178" s="12">
        <v>45868</v>
      </c>
      <c r="I178" t="s">
        <v>44</v>
      </c>
      <c r="J178" t="s">
        <v>18</v>
      </c>
      <c r="K178" t="s">
        <v>19</v>
      </c>
      <c r="L178" s="2">
        <v>137100</v>
      </c>
    </row>
    <row r="179" spans="1:12">
      <c r="A179" t="s">
        <v>413</v>
      </c>
      <c r="B179" t="s">
        <v>414</v>
      </c>
      <c r="C179" t="s">
        <v>73</v>
      </c>
      <c r="D179" t="s">
        <v>23</v>
      </c>
      <c r="E179" t="s">
        <v>31</v>
      </c>
      <c r="F179" s="2">
        <v>8794000</v>
      </c>
      <c r="G179" s="3">
        <v>8.25</v>
      </c>
      <c r="H179" s="12">
        <v>45881</v>
      </c>
      <c r="I179" t="s">
        <v>17</v>
      </c>
      <c r="J179" t="s">
        <v>25</v>
      </c>
      <c r="K179" t="s">
        <v>26</v>
      </c>
      <c r="L179" s="2">
        <v>144400</v>
      </c>
    </row>
    <row r="180" spans="1:12">
      <c r="A180" t="s">
        <v>415</v>
      </c>
      <c r="B180" t="s">
        <v>416</v>
      </c>
      <c r="C180" t="s">
        <v>76</v>
      </c>
      <c r="D180" t="s">
        <v>30</v>
      </c>
      <c r="E180" t="s">
        <v>38</v>
      </c>
      <c r="F180" s="2">
        <v>4789000</v>
      </c>
      <c r="G180" s="3">
        <v>10</v>
      </c>
      <c r="H180" s="12">
        <v>45894</v>
      </c>
      <c r="I180" t="s">
        <v>39</v>
      </c>
      <c r="J180" t="s">
        <v>32</v>
      </c>
      <c r="K180" t="s">
        <v>33</v>
      </c>
      <c r="L180" s="2">
        <v>151700</v>
      </c>
    </row>
    <row r="181" spans="1:12">
      <c r="A181" t="s">
        <v>417</v>
      </c>
      <c r="B181" t="s">
        <v>418</v>
      </c>
      <c r="C181" t="s">
        <v>79</v>
      </c>
      <c r="D181" t="s">
        <v>37</v>
      </c>
      <c r="E181" t="s">
        <v>31</v>
      </c>
      <c r="F181" s="2">
        <v>9140000</v>
      </c>
      <c r="G181" s="3">
        <v>7.5</v>
      </c>
      <c r="H181" s="12">
        <v>45907</v>
      </c>
      <c r="I181" t="s">
        <v>17</v>
      </c>
      <c r="J181" t="s">
        <v>25</v>
      </c>
      <c r="K181" t="s">
        <v>19</v>
      </c>
      <c r="L181" s="2">
        <v>159000</v>
      </c>
    </row>
    <row r="182" spans="1:12">
      <c r="A182" t="s">
        <v>419</v>
      </c>
      <c r="B182" t="s">
        <v>420</v>
      </c>
      <c r="C182" t="s">
        <v>82</v>
      </c>
      <c r="D182" t="s">
        <v>43</v>
      </c>
      <c r="E182" t="s">
        <v>38</v>
      </c>
      <c r="F182" s="2">
        <v>4971000</v>
      </c>
      <c r="G182" s="3">
        <v>9.25</v>
      </c>
      <c r="H182" s="12">
        <v>45920</v>
      </c>
      <c r="I182" t="s">
        <v>44</v>
      </c>
      <c r="J182" t="s">
        <v>32</v>
      </c>
      <c r="K182" t="s">
        <v>26</v>
      </c>
      <c r="L182" s="2">
        <v>166300</v>
      </c>
    </row>
    <row r="183" spans="1:12">
      <c r="A183" t="s">
        <v>421</v>
      </c>
      <c r="B183" t="s">
        <v>422</v>
      </c>
      <c r="C183" t="s">
        <v>85</v>
      </c>
      <c r="D183" t="s">
        <v>37</v>
      </c>
      <c r="E183" t="s">
        <v>52</v>
      </c>
      <c r="F183" s="2">
        <v>1834000</v>
      </c>
      <c r="G183" s="3">
        <v>12.5</v>
      </c>
      <c r="H183" s="12">
        <v>45933</v>
      </c>
      <c r="I183" t="s">
        <v>44</v>
      </c>
      <c r="J183" t="s">
        <v>18</v>
      </c>
      <c r="K183" t="s">
        <v>33</v>
      </c>
      <c r="L183" s="2">
        <v>173600</v>
      </c>
    </row>
    <row r="184" spans="1:12">
      <c r="A184" t="s">
        <v>423</v>
      </c>
      <c r="B184" t="s">
        <v>424</v>
      </c>
      <c r="C184" t="s">
        <v>88</v>
      </c>
      <c r="D184" t="s">
        <v>43</v>
      </c>
      <c r="E184" t="s">
        <v>16</v>
      </c>
      <c r="F184" s="2">
        <v>2901000</v>
      </c>
      <c r="G184" s="3">
        <v>10.25</v>
      </c>
      <c r="H184" s="12">
        <v>45946</v>
      </c>
      <c r="I184" t="s">
        <v>39</v>
      </c>
      <c r="J184" t="s">
        <v>25</v>
      </c>
      <c r="K184" t="s">
        <v>19</v>
      </c>
      <c r="L184" s="2">
        <v>180900</v>
      </c>
    </row>
    <row r="185" spans="1:12">
      <c r="A185" t="s">
        <v>425</v>
      </c>
      <c r="B185" t="s">
        <v>426</v>
      </c>
      <c r="C185" t="s">
        <v>91</v>
      </c>
      <c r="D185" t="s">
        <v>48</v>
      </c>
      <c r="E185" t="s">
        <v>24</v>
      </c>
      <c r="F185" s="2">
        <v>596000</v>
      </c>
      <c r="G185" s="3">
        <v>8</v>
      </c>
      <c r="H185" s="12">
        <v>45959</v>
      </c>
      <c r="I185" t="s">
        <v>39</v>
      </c>
      <c r="J185" t="s">
        <v>32</v>
      </c>
      <c r="K185" t="s">
        <v>56</v>
      </c>
      <c r="L185" s="2">
        <v>188200</v>
      </c>
    </row>
    <row r="186" spans="1:12">
      <c r="A186" t="s">
        <v>427</v>
      </c>
      <c r="B186" t="s">
        <v>428</v>
      </c>
      <c r="C186" t="s">
        <v>14</v>
      </c>
      <c r="D186" t="s">
        <v>60</v>
      </c>
      <c r="E186" t="s">
        <v>16</v>
      </c>
      <c r="F186" s="2">
        <v>2995000</v>
      </c>
      <c r="G186" s="3">
        <v>9.5</v>
      </c>
      <c r="H186" s="12">
        <v>45972</v>
      </c>
      <c r="I186" t="s">
        <v>39</v>
      </c>
      <c r="J186" t="s">
        <v>18</v>
      </c>
      <c r="K186" t="s">
        <v>61</v>
      </c>
      <c r="L186" s="2">
        <v>195500</v>
      </c>
    </row>
    <row r="187" spans="1:12">
      <c r="A187" t="s">
        <v>429</v>
      </c>
      <c r="B187" t="s">
        <v>430</v>
      </c>
      <c r="C187" t="s">
        <v>22</v>
      </c>
      <c r="D187" t="s">
        <v>15</v>
      </c>
      <c r="E187" t="s">
        <v>24</v>
      </c>
      <c r="F187" s="2">
        <v>634000</v>
      </c>
      <c r="G187" s="3">
        <v>7.25</v>
      </c>
      <c r="H187" s="12">
        <v>45985</v>
      </c>
      <c r="I187" t="s">
        <v>17</v>
      </c>
      <c r="J187" t="s">
        <v>25</v>
      </c>
      <c r="K187" t="s">
        <v>55</v>
      </c>
      <c r="L187" s="2">
        <v>202800</v>
      </c>
    </row>
    <row r="188" spans="1:12">
      <c r="A188" t="s">
        <v>431</v>
      </c>
      <c r="B188" t="s">
        <v>432</v>
      </c>
      <c r="C188" t="s">
        <v>55</v>
      </c>
      <c r="D188" t="s">
        <v>23</v>
      </c>
      <c r="E188" t="s">
        <v>31</v>
      </c>
      <c r="F188" s="2">
        <v>2351000</v>
      </c>
      <c r="G188" s="3">
        <v>8</v>
      </c>
      <c r="H188" s="12">
        <v>45998</v>
      </c>
      <c r="I188" t="s">
        <v>39</v>
      </c>
      <c r="J188" t="s">
        <v>32</v>
      </c>
      <c r="K188" t="s">
        <v>56</v>
      </c>
      <c r="L188" s="2">
        <v>210100</v>
      </c>
    </row>
    <row r="189" spans="1:12">
      <c r="A189" t="s">
        <v>433</v>
      </c>
      <c r="B189" t="s">
        <v>434</v>
      </c>
      <c r="C189" t="s">
        <v>59</v>
      </c>
      <c r="D189" t="s">
        <v>30</v>
      </c>
      <c r="E189" t="s">
        <v>38</v>
      </c>
      <c r="F189" s="2">
        <v>5608000</v>
      </c>
      <c r="G189" s="3">
        <v>9.75</v>
      </c>
      <c r="H189" s="12">
        <v>46011</v>
      </c>
      <c r="I189" t="s">
        <v>44</v>
      </c>
      <c r="J189" t="s">
        <v>18</v>
      </c>
      <c r="K189" t="s">
        <v>61</v>
      </c>
      <c r="L189" s="2">
        <v>217400</v>
      </c>
    </row>
    <row r="190" spans="1:12">
      <c r="A190" t="s">
        <v>435</v>
      </c>
      <c r="B190" t="s">
        <v>436</v>
      </c>
      <c r="C190" t="s">
        <v>64</v>
      </c>
      <c r="D190" t="s">
        <v>23</v>
      </c>
      <c r="E190" t="s">
        <v>52</v>
      </c>
      <c r="F190" s="2">
        <v>2093000</v>
      </c>
      <c r="G190" s="3">
        <v>13</v>
      </c>
      <c r="H190" s="12">
        <v>46024</v>
      </c>
      <c r="I190" t="s">
        <v>39</v>
      </c>
      <c r="J190" t="s">
        <v>32</v>
      </c>
      <c r="K190" t="s">
        <v>55</v>
      </c>
      <c r="L190" s="2">
        <v>224700</v>
      </c>
    </row>
    <row r="191" spans="1:12">
      <c r="A191" t="s">
        <v>437</v>
      </c>
      <c r="B191" t="s">
        <v>438</v>
      </c>
      <c r="C191" t="s">
        <v>104</v>
      </c>
      <c r="D191" t="s">
        <v>30</v>
      </c>
      <c r="E191" t="s">
        <v>38</v>
      </c>
      <c r="F191" s="2">
        <v>5790000</v>
      </c>
      <c r="G191" s="3">
        <v>9</v>
      </c>
      <c r="H191" s="12">
        <v>46037</v>
      </c>
      <c r="I191" t="s">
        <v>39</v>
      </c>
      <c r="J191" t="s">
        <v>18</v>
      </c>
      <c r="K191" t="s">
        <v>56</v>
      </c>
      <c r="L191" s="2">
        <v>232000</v>
      </c>
    </row>
    <row r="192" spans="1:12">
      <c r="A192" t="s">
        <v>439</v>
      </c>
      <c r="B192" t="s">
        <v>440</v>
      </c>
      <c r="C192" t="s">
        <v>107</v>
      </c>
      <c r="D192" t="s">
        <v>37</v>
      </c>
      <c r="E192" t="s">
        <v>52</v>
      </c>
      <c r="F192" s="2">
        <v>2167000</v>
      </c>
      <c r="G192" s="3">
        <v>12.25</v>
      </c>
      <c r="H192" s="12">
        <v>46050</v>
      </c>
      <c r="I192" t="s">
        <v>39</v>
      </c>
      <c r="J192" t="s">
        <v>25</v>
      </c>
      <c r="K192" t="s">
        <v>61</v>
      </c>
      <c r="L192" s="2">
        <v>239300</v>
      </c>
    </row>
    <row r="193" spans="1:12">
      <c r="A193" t="s">
        <v>441</v>
      </c>
      <c r="B193" t="s">
        <v>442</v>
      </c>
      <c r="C193" t="s">
        <v>110</v>
      </c>
      <c r="D193" t="s">
        <v>43</v>
      </c>
      <c r="E193" t="s">
        <v>16</v>
      </c>
      <c r="F193" s="2">
        <v>324000</v>
      </c>
      <c r="G193" s="3">
        <v>10</v>
      </c>
      <c r="H193" s="12">
        <v>46063</v>
      </c>
      <c r="I193" t="s">
        <v>39</v>
      </c>
      <c r="J193" t="s">
        <v>32</v>
      </c>
      <c r="K193" t="s">
        <v>33</v>
      </c>
      <c r="L193" s="2">
        <v>246600</v>
      </c>
    </row>
    <row r="194" spans="1:12">
      <c r="A194" t="s">
        <v>443</v>
      </c>
      <c r="B194" t="s">
        <v>444</v>
      </c>
      <c r="C194" t="s">
        <v>113</v>
      </c>
      <c r="D194" t="s">
        <v>48</v>
      </c>
      <c r="E194" t="s">
        <v>24</v>
      </c>
      <c r="F194" s="2">
        <v>767000</v>
      </c>
      <c r="G194" s="3">
        <v>7.75</v>
      </c>
      <c r="H194" s="12">
        <v>46076</v>
      </c>
      <c r="I194" t="s">
        <v>44</v>
      </c>
      <c r="J194" t="s">
        <v>18</v>
      </c>
      <c r="K194" t="s">
        <v>19</v>
      </c>
      <c r="L194" s="2">
        <v>253900</v>
      </c>
    </row>
    <row r="195" spans="1:12">
      <c r="A195" t="s">
        <v>445</v>
      </c>
      <c r="B195" t="s">
        <v>446</v>
      </c>
      <c r="C195" t="s">
        <v>116</v>
      </c>
      <c r="D195" t="s">
        <v>60</v>
      </c>
      <c r="E195" t="s">
        <v>31</v>
      </c>
      <c r="F195" s="2">
        <v>3562000</v>
      </c>
      <c r="G195" s="3">
        <v>8.5</v>
      </c>
      <c r="H195" s="12">
        <v>46089</v>
      </c>
      <c r="I195" t="s">
        <v>17</v>
      </c>
      <c r="J195" t="s">
        <v>25</v>
      </c>
      <c r="K195" t="s">
        <v>26</v>
      </c>
      <c r="L195" s="2">
        <v>261200</v>
      </c>
    </row>
    <row r="196" spans="1:12">
      <c r="A196" t="s">
        <v>447</v>
      </c>
      <c r="B196" t="s">
        <v>448</v>
      </c>
      <c r="C196" t="s">
        <v>67</v>
      </c>
      <c r="D196" t="s">
        <v>15</v>
      </c>
      <c r="E196" t="s">
        <v>24</v>
      </c>
      <c r="F196" s="2">
        <v>805000</v>
      </c>
      <c r="G196" s="3">
        <v>7</v>
      </c>
      <c r="H196" s="12">
        <v>46102</v>
      </c>
      <c r="I196" t="s">
        <v>44</v>
      </c>
      <c r="J196" t="s">
        <v>32</v>
      </c>
      <c r="K196" t="s">
        <v>33</v>
      </c>
      <c r="L196" s="2">
        <v>268500</v>
      </c>
    </row>
    <row r="197" spans="1:12">
      <c r="A197" t="s">
        <v>449</v>
      </c>
      <c r="B197" t="s">
        <v>450</v>
      </c>
      <c r="C197" t="s">
        <v>70</v>
      </c>
      <c r="D197" t="s">
        <v>60</v>
      </c>
      <c r="E197" t="s">
        <v>31</v>
      </c>
      <c r="F197" s="2">
        <v>3908000</v>
      </c>
      <c r="G197" s="3">
        <v>7.75</v>
      </c>
      <c r="H197" s="12">
        <v>46115</v>
      </c>
      <c r="I197" t="s">
        <v>17</v>
      </c>
      <c r="J197" t="s">
        <v>18</v>
      </c>
      <c r="K197" t="s">
        <v>19</v>
      </c>
      <c r="L197" s="2">
        <v>275800</v>
      </c>
    </row>
    <row r="198" spans="1:12">
      <c r="A198" t="s">
        <v>451</v>
      </c>
      <c r="B198" t="s">
        <v>452</v>
      </c>
      <c r="C198" t="s">
        <v>73</v>
      </c>
      <c r="D198" t="s">
        <v>15</v>
      </c>
      <c r="E198" t="s">
        <v>38</v>
      </c>
      <c r="F198" s="2">
        <v>6427000</v>
      </c>
      <c r="G198" s="3">
        <v>9.5</v>
      </c>
      <c r="H198" s="12">
        <v>46128</v>
      </c>
      <c r="I198" t="s">
        <v>44</v>
      </c>
      <c r="J198" t="s">
        <v>25</v>
      </c>
      <c r="K198" t="s">
        <v>26</v>
      </c>
      <c r="L198" s="2">
        <v>283100</v>
      </c>
    </row>
    <row r="199" spans="1:12">
      <c r="A199" t="s">
        <v>453</v>
      </c>
      <c r="B199" t="s">
        <v>454</v>
      </c>
      <c r="C199" t="s">
        <v>91</v>
      </c>
      <c r="D199" t="s">
        <v>23</v>
      </c>
      <c r="E199" t="s">
        <v>52</v>
      </c>
      <c r="F199" s="2">
        <v>2426000</v>
      </c>
      <c r="G199" s="3">
        <v>12.75</v>
      </c>
      <c r="H199" s="12">
        <v>46141</v>
      </c>
      <c r="I199" t="s">
        <v>44</v>
      </c>
      <c r="J199" t="s">
        <v>18</v>
      </c>
      <c r="K199" t="s">
        <v>33</v>
      </c>
      <c r="L199" s="2">
        <v>290400</v>
      </c>
    </row>
    <row r="200" spans="1:12">
      <c r="A200" t="s">
        <v>455</v>
      </c>
      <c r="B200" t="s">
        <v>456</v>
      </c>
      <c r="C200" t="s">
        <v>14</v>
      </c>
      <c r="D200" t="s">
        <v>30</v>
      </c>
      <c r="E200" t="s">
        <v>16</v>
      </c>
      <c r="F200" s="2">
        <v>653000</v>
      </c>
      <c r="G200" s="3">
        <v>10.5</v>
      </c>
      <c r="H200" s="12">
        <v>46154</v>
      </c>
      <c r="I200" t="s">
        <v>39</v>
      </c>
      <c r="J200" t="s">
        <v>25</v>
      </c>
      <c r="K200" t="s">
        <v>19</v>
      </c>
      <c r="L200" s="2">
        <v>297700</v>
      </c>
    </row>
    <row r="201" spans="1:12">
      <c r="A201" t="s">
        <v>457</v>
      </c>
      <c r="B201" t="s">
        <v>458</v>
      </c>
      <c r="C201" t="s">
        <v>22</v>
      </c>
      <c r="D201" t="s">
        <v>37</v>
      </c>
      <c r="E201" t="s">
        <v>52</v>
      </c>
      <c r="F201" s="2">
        <v>2500000</v>
      </c>
      <c r="G201" s="3">
        <v>12</v>
      </c>
      <c r="H201" s="12">
        <v>46167</v>
      </c>
      <c r="I201" t="s">
        <v>44</v>
      </c>
      <c r="J201" t="s">
        <v>32</v>
      </c>
      <c r="K201" t="s">
        <v>56</v>
      </c>
      <c r="L201" s="2">
        <v>305000</v>
      </c>
    </row>
    <row r="202" spans="1:12">
      <c r="A202" t="s">
        <v>459</v>
      </c>
      <c r="B202" t="s">
        <v>460</v>
      </c>
      <c r="C202" t="s">
        <v>29</v>
      </c>
      <c r="D202" t="s">
        <v>43</v>
      </c>
      <c r="E202" t="s">
        <v>16</v>
      </c>
      <c r="F202" s="2">
        <v>747000</v>
      </c>
      <c r="G202" s="3">
        <v>9.75</v>
      </c>
      <c r="H202" s="12">
        <v>46180</v>
      </c>
      <c r="I202" t="s">
        <v>17</v>
      </c>
      <c r="J202" t="s">
        <v>18</v>
      </c>
      <c r="K202" t="s">
        <v>61</v>
      </c>
      <c r="L202" s="2">
        <v>312300</v>
      </c>
    </row>
    <row r="203" spans="1:12">
      <c r="A203" t="s">
        <v>461</v>
      </c>
      <c r="B203" t="s">
        <v>462</v>
      </c>
      <c r="C203" t="s">
        <v>36</v>
      </c>
      <c r="D203" t="s">
        <v>48</v>
      </c>
      <c r="E203" t="s">
        <v>24</v>
      </c>
      <c r="F203" s="2">
        <v>938000</v>
      </c>
      <c r="G203" s="3">
        <v>7.5</v>
      </c>
      <c r="H203" s="12">
        <v>46193</v>
      </c>
      <c r="I203" t="s">
        <v>17</v>
      </c>
      <c r="J203" t="s">
        <v>25</v>
      </c>
      <c r="K203" t="s">
        <v>55</v>
      </c>
      <c r="L203" s="2">
        <v>319600</v>
      </c>
    </row>
    <row r="204" spans="1:12">
      <c r="A204" t="s">
        <v>463</v>
      </c>
      <c r="B204" t="s">
        <v>464</v>
      </c>
      <c r="C204" t="s">
        <v>42</v>
      </c>
      <c r="D204" t="s">
        <v>43</v>
      </c>
      <c r="E204" t="s">
        <v>31</v>
      </c>
      <c r="F204" s="2">
        <v>5119000</v>
      </c>
      <c r="G204" s="3">
        <v>8.25</v>
      </c>
      <c r="H204" s="12">
        <v>46206</v>
      </c>
      <c r="I204" t="s">
        <v>17</v>
      </c>
      <c r="J204" t="s">
        <v>32</v>
      </c>
      <c r="K204" t="s">
        <v>56</v>
      </c>
      <c r="L204" s="2">
        <v>326900</v>
      </c>
    </row>
    <row r="205" spans="1:12">
      <c r="A205" t="s">
        <v>465</v>
      </c>
      <c r="B205" t="s">
        <v>466</v>
      </c>
      <c r="C205" t="s">
        <v>47</v>
      </c>
      <c r="D205" t="s">
        <v>48</v>
      </c>
      <c r="E205" t="s">
        <v>38</v>
      </c>
      <c r="F205" s="2">
        <v>1064000</v>
      </c>
      <c r="G205" s="3">
        <v>10</v>
      </c>
      <c r="H205" s="12">
        <v>46219</v>
      </c>
      <c r="I205" t="s">
        <v>39</v>
      </c>
      <c r="J205" t="s">
        <v>18</v>
      </c>
      <c r="K205" t="s">
        <v>61</v>
      </c>
      <c r="L205" s="2">
        <v>334200</v>
      </c>
    </row>
    <row r="206" spans="1:12">
      <c r="A206" t="s">
        <v>467</v>
      </c>
      <c r="B206" t="s">
        <v>468</v>
      </c>
      <c r="C206" t="s">
        <v>51</v>
      </c>
      <c r="D206" t="s">
        <v>60</v>
      </c>
      <c r="E206" t="s">
        <v>31</v>
      </c>
      <c r="F206" s="2">
        <v>5465000</v>
      </c>
      <c r="G206" s="3">
        <v>7.5</v>
      </c>
      <c r="H206" s="12">
        <v>46232</v>
      </c>
      <c r="I206" t="s">
        <v>44</v>
      </c>
      <c r="J206" t="s">
        <v>25</v>
      </c>
      <c r="K206" t="s">
        <v>55</v>
      </c>
      <c r="L206" s="2">
        <v>341500</v>
      </c>
    </row>
    <row r="207" spans="1:12">
      <c r="A207" t="s">
        <v>469</v>
      </c>
      <c r="B207" t="s">
        <v>470</v>
      </c>
      <c r="C207" t="s">
        <v>55</v>
      </c>
      <c r="D207" t="s">
        <v>15</v>
      </c>
      <c r="E207" t="s">
        <v>38</v>
      </c>
      <c r="F207" s="2">
        <v>1246000</v>
      </c>
      <c r="G207" s="3">
        <v>9.25</v>
      </c>
      <c r="H207" s="12">
        <v>46245</v>
      </c>
      <c r="I207" t="s">
        <v>44</v>
      </c>
      <c r="J207" t="s">
        <v>32</v>
      </c>
      <c r="K207" t="s">
        <v>56</v>
      </c>
      <c r="L207" s="2">
        <v>348800</v>
      </c>
    </row>
    <row r="208" spans="1:12">
      <c r="A208" t="s">
        <v>471</v>
      </c>
      <c r="B208" t="s">
        <v>472</v>
      </c>
      <c r="C208" t="s">
        <v>59</v>
      </c>
      <c r="D208" t="s">
        <v>23</v>
      </c>
      <c r="E208" t="s">
        <v>52</v>
      </c>
      <c r="F208" s="2">
        <v>259000</v>
      </c>
      <c r="G208" s="3">
        <v>12.5</v>
      </c>
      <c r="H208" s="12">
        <v>46258</v>
      </c>
      <c r="I208" t="s">
        <v>39</v>
      </c>
      <c r="J208" t="s">
        <v>25</v>
      </c>
      <c r="K208" t="s">
        <v>61</v>
      </c>
      <c r="L208" s="2">
        <v>356100</v>
      </c>
    </row>
    <row r="209" spans="1:12">
      <c r="A209" t="s">
        <v>473</v>
      </c>
      <c r="B209" t="s">
        <v>474</v>
      </c>
      <c r="C209" t="s">
        <v>64</v>
      </c>
      <c r="D209" t="s">
        <v>30</v>
      </c>
      <c r="E209" t="s">
        <v>16</v>
      </c>
      <c r="F209" s="2">
        <v>1076000</v>
      </c>
      <c r="G209" s="3">
        <v>10.25</v>
      </c>
      <c r="H209" s="12">
        <v>46271</v>
      </c>
      <c r="I209" t="s">
        <v>17</v>
      </c>
      <c r="J209" t="s">
        <v>32</v>
      </c>
      <c r="K209" t="s">
        <v>33</v>
      </c>
      <c r="L209" s="2">
        <v>363400</v>
      </c>
    </row>
    <row r="210" spans="1:12">
      <c r="A210" t="s">
        <v>475</v>
      </c>
      <c r="B210" t="s">
        <v>476</v>
      </c>
      <c r="C210" t="s">
        <v>67</v>
      </c>
      <c r="D210" t="s">
        <v>37</v>
      </c>
      <c r="E210" t="s">
        <v>24</v>
      </c>
      <c r="F210" s="2">
        <v>1071000</v>
      </c>
      <c r="G210" s="3">
        <v>8</v>
      </c>
      <c r="H210" s="12">
        <v>46284</v>
      </c>
      <c r="I210" t="s">
        <v>39</v>
      </c>
      <c r="J210" t="s">
        <v>18</v>
      </c>
      <c r="K210" t="s">
        <v>19</v>
      </c>
      <c r="L210" s="2">
        <v>370700</v>
      </c>
    </row>
    <row r="211" spans="1:12">
      <c r="A211" t="s">
        <v>477</v>
      </c>
      <c r="B211" t="s">
        <v>478</v>
      </c>
      <c r="C211" t="s">
        <v>70</v>
      </c>
      <c r="D211" t="s">
        <v>30</v>
      </c>
      <c r="E211" t="s">
        <v>16</v>
      </c>
      <c r="F211" s="2">
        <v>1170000</v>
      </c>
      <c r="G211" s="3">
        <v>9.5</v>
      </c>
      <c r="H211" s="12">
        <v>44937</v>
      </c>
      <c r="I211" t="s">
        <v>17</v>
      </c>
      <c r="J211" t="s">
        <v>25</v>
      </c>
      <c r="K211" t="s">
        <v>26</v>
      </c>
      <c r="L211" s="2">
        <v>378000</v>
      </c>
    </row>
    <row r="212" spans="1:12">
      <c r="A212" t="s">
        <v>479</v>
      </c>
      <c r="B212" t="s">
        <v>480</v>
      </c>
      <c r="C212" t="s">
        <v>73</v>
      </c>
      <c r="D212" t="s">
        <v>37</v>
      </c>
      <c r="E212" t="s">
        <v>24</v>
      </c>
      <c r="F212" s="2">
        <v>1109000</v>
      </c>
      <c r="G212" s="3">
        <v>7.25</v>
      </c>
      <c r="H212" s="12">
        <v>44950</v>
      </c>
      <c r="I212" t="s">
        <v>44</v>
      </c>
      <c r="J212" t="s">
        <v>32</v>
      </c>
      <c r="K212" t="s">
        <v>33</v>
      </c>
      <c r="L212" s="2">
        <v>385300</v>
      </c>
    </row>
    <row r="213" spans="1:12">
      <c r="A213" t="s">
        <v>481</v>
      </c>
      <c r="B213" t="s">
        <v>482</v>
      </c>
      <c r="C213" t="s">
        <v>76</v>
      </c>
      <c r="D213" t="s">
        <v>43</v>
      </c>
      <c r="E213" t="s">
        <v>31</v>
      </c>
      <c r="F213" s="2">
        <v>6676000</v>
      </c>
      <c r="G213" s="3">
        <v>8</v>
      </c>
      <c r="H213" s="12">
        <v>44963</v>
      </c>
      <c r="I213" t="s">
        <v>44</v>
      </c>
      <c r="J213" t="s">
        <v>18</v>
      </c>
      <c r="K213" t="s">
        <v>19</v>
      </c>
      <c r="L213" s="2">
        <v>392600</v>
      </c>
    </row>
    <row r="214" spans="1:12">
      <c r="A214" t="s">
        <v>483</v>
      </c>
      <c r="B214" t="s">
        <v>484</v>
      </c>
      <c r="C214" t="s">
        <v>79</v>
      </c>
      <c r="D214" t="s">
        <v>48</v>
      </c>
      <c r="E214" t="s">
        <v>38</v>
      </c>
      <c r="F214" s="2">
        <v>1883000</v>
      </c>
      <c r="G214" s="3">
        <v>9.75</v>
      </c>
      <c r="H214" s="12">
        <v>44976</v>
      </c>
      <c r="I214" t="s">
        <v>44</v>
      </c>
      <c r="J214" t="s">
        <v>25</v>
      </c>
      <c r="K214" t="s">
        <v>26</v>
      </c>
      <c r="L214" s="2">
        <v>399900</v>
      </c>
    </row>
    <row r="215" spans="1:12">
      <c r="A215" t="s">
        <v>485</v>
      </c>
      <c r="B215" t="s">
        <v>486</v>
      </c>
      <c r="C215" t="s">
        <v>82</v>
      </c>
      <c r="D215" t="s">
        <v>60</v>
      </c>
      <c r="E215" t="s">
        <v>52</v>
      </c>
      <c r="F215" s="2">
        <v>518000</v>
      </c>
      <c r="G215" s="3">
        <v>13</v>
      </c>
      <c r="H215" s="12">
        <v>44989</v>
      </c>
      <c r="I215" t="s">
        <v>39</v>
      </c>
      <c r="J215" t="s">
        <v>32</v>
      </c>
      <c r="K215" t="s">
        <v>33</v>
      </c>
      <c r="L215" s="2">
        <v>407200</v>
      </c>
    </row>
    <row r="216" spans="1:12">
      <c r="A216" t="s">
        <v>487</v>
      </c>
      <c r="B216" t="s">
        <v>488</v>
      </c>
      <c r="C216" t="s">
        <v>85</v>
      </c>
      <c r="D216" t="s">
        <v>15</v>
      </c>
      <c r="E216" t="s">
        <v>38</v>
      </c>
      <c r="F216" s="2">
        <v>2065000</v>
      </c>
      <c r="G216" s="3">
        <v>9</v>
      </c>
      <c r="H216" s="12">
        <v>45002</v>
      </c>
      <c r="I216" t="s">
        <v>39</v>
      </c>
      <c r="J216" t="s">
        <v>18</v>
      </c>
      <c r="K216" t="s">
        <v>19</v>
      </c>
      <c r="L216" s="2">
        <v>414500</v>
      </c>
    </row>
    <row r="217" spans="1:12">
      <c r="A217" t="s">
        <v>489</v>
      </c>
      <c r="B217" t="s">
        <v>490</v>
      </c>
      <c r="C217" t="s">
        <v>88</v>
      </c>
      <c r="D217" t="s">
        <v>23</v>
      </c>
      <c r="E217" t="s">
        <v>52</v>
      </c>
      <c r="F217" s="2">
        <v>592000</v>
      </c>
      <c r="G217" s="3">
        <v>12.25</v>
      </c>
      <c r="H217" s="12">
        <v>45015</v>
      </c>
      <c r="I217" t="s">
        <v>44</v>
      </c>
      <c r="J217" t="s">
        <v>32</v>
      </c>
      <c r="K217" t="s">
        <v>56</v>
      </c>
      <c r="L217" s="2">
        <v>421800</v>
      </c>
    </row>
    <row r="218" spans="1:12">
      <c r="A218" t="s">
        <v>491</v>
      </c>
      <c r="B218" t="s">
        <v>492</v>
      </c>
      <c r="C218" t="s">
        <v>91</v>
      </c>
      <c r="D218" t="s">
        <v>15</v>
      </c>
      <c r="E218" t="s">
        <v>16</v>
      </c>
      <c r="F218" s="2">
        <v>1499000</v>
      </c>
      <c r="G218" s="3">
        <v>10</v>
      </c>
      <c r="H218" s="12">
        <v>45028</v>
      </c>
      <c r="I218" t="s">
        <v>44</v>
      </c>
      <c r="J218" t="s">
        <v>18</v>
      </c>
      <c r="K218" t="s">
        <v>61</v>
      </c>
      <c r="L218" s="2">
        <v>429100</v>
      </c>
    </row>
    <row r="219" spans="1:12">
      <c r="A219" t="s">
        <v>493</v>
      </c>
      <c r="B219" t="s">
        <v>494</v>
      </c>
      <c r="C219" t="s">
        <v>14</v>
      </c>
      <c r="D219" t="s">
        <v>23</v>
      </c>
      <c r="E219" t="s">
        <v>24</v>
      </c>
      <c r="F219" s="2">
        <v>1242000</v>
      </c>
      <c r="G219" s="3">
        <v>7.75</v>
      </c>
      <c r="H219" s="12">
        <v>45041</v>
      </c>
      <c r="I219" t="s">
        <v>17</v>
      </c>
      <c r="J219" t="s">
        <v>25</v>
      </c>
      <c r="K219" t="s">
        <v>55</v>
      </c>
      <c r="L219" s="2">
        <v>436400</v>
      </c>
    </row>
    <row r="220" spans="1:12">
      <c r="A220" t="s">
        <v>495</v>
      </c>
      <c r="B220" t="s">
        <v>496</v>
      </c>
      <c r="C220" t="s">
        <v>22</v>
      </c>
      <c r="D220" t="s">
        <v>30</v>
      </c>
      <c r="E220" t="s">
        <v>31</v>
      </c>
      <c r="F220" s="2">
        <v>7887000</v>
      </c>
      <c r="G220" s="3">
        <v>8.5</v>
      </c>
      <c r="H220" s="12">
        <v>45054</v>
      </c>
      <c r="I220" t="s">
        <v>39</v>
      </c>
      <c r="J220" t="s">
        <v>32</v>
      </c>
      <c r="K220" t="s">
        <v>56</v>
      </c>
      <c r="L220" s="2">
        <v>443700</v>
      </c>
    </row>
    <row r="221" spans="1:12">
      <c r="A221" t="s">
        <v>497</v>
      </c>
      <c r="B221" t="s">
        <v>498</v>
      </c>
      <c r="C221" t="s">
        <v>55</v>
      </c>
      <c r="D221" t="s">
        <v>37</v>
      </c>
      <c r="E221" t="s">
        <v>24</v>
      </c>
      <c r="F221" s="2">
        <v>1280000</v>
      </c>
      <c r="G221" s="3">
        <v>7</v>
      </c>
      <c r="H221" s="12">
        <v>45067</v>
      </c>
      <c r="I221" t="s">
        <v>39</v>
      </c>
      <c r="J221" t="s">
        <v>18</v>
      </c>
      <c r="K221" t="s">
        <v>61</v>
      </c>
      <c r="L221" s="2">
        <v>51000</v>
      </c>
    </row>
    <row r="222" spans="1:12">
      <c r="A222" t="s">
        <v>499</v>
      </c>
      <c r="B222" t="s">
        <v>500</v>
      </c>
      <c r="C222" t="s">
        <v>59</v>
      </c>
      <c r="D222" t="s">
        <v>43</v>
      </c>
      <c r="E222" t="s">
        <v>31</v>
      </c>
      <c r="F222" s="2">
        <v>8233000</v>
      </c>
      <c r="G222" s="3">
        <v>7.75</v>
      </c>
      <c r="H222" s="12">
        <v>45080</v>
      </c>
      <c r="I222" t="s">
        <v>44</v>
      </c>
      <c r="J222" t="s">
        <v>25</v>
      </c>
      <c r="K222" t="s">
        <v>55</v>
      </c>
      <c r="L222" s="2">
        <v>58300</v>
      </c>
    </row>
    <row r="223" spans="1:12">
      <c r="A223" t="s">
        <v>501</v>
      </c>
      <c r="B223" t="s">
        <v>502</v>
      </c>
      <c r="C223" t="s">
        <v>64</v>
      </c>
      <c r="D223" t="s">
        <v>48</v>
      </c>
      <c r="E223" t="s">
        <v>38</v>
      </c>
      <c r="F223" s="2">
        <v>2702000</v>
      </c>
      <c r="G223" s="3">
        <v>9.5</v>
      </c>
      <c r="H223" s="12">
        <v>45093</v>
      </c>
      <c r="I223" t="s">
        <v>39</v>
      </c>
      <c r="J223" t="s">
        <v>32</v>
      </c>
      <c r="K223" t="s">
        <v>56</v>
      </c>
      <c r="L223" s="2">
        <v>65600</v>
      </c>
    </row>
    <row r="224" spans="1:12">
      <c r="A224" t="s">
        <v>503</v>
      </c>
      <c r="B224" t="s">
        <v>504</v>
      </c>
      <c r="C224" t="s">
        <v>104</v>
      </c>
      <c r="D224" t="s">
        <v>60</v>
      </c>
      <c r="E224" t="s">
        <v>52</v>
      </c>
      <c r="F224" s="2">
        <v>851000</v>
      </c>
      <c r="G224" s="3">
        <v>12.75</v>
      </c>
      <c r="H224" s="12">
        <v>45106</v>
      </c>
      <c r="I224" t="s">
        <v>44</v>
      </c>
      <c r="J224" t="s">
        <v>18</v>
      </c>
      <c r="K224" t="s">
        <v>61</v>
      </c>
      <c r="L224" s="2">
        <v>72900</v>
      </c>
    </row>
    <row r="225" spans="1:12">
      <c r="A225" t="s">
        <v>505</v>
      </c>
      <c r="B225" t="s">
        <v>506</v>
      </c>
      <c r="C225" t="s">
        <v>107</v>
      </c>
      <c r="D225" t="s">
        <v>48</v>
      </c>
      <c r="E225" t="s">
        <v>16</v>
      </c>
      <c r="F225" s="2">
        <v>1828000</v>
      </c>
      <c r="G225" s="3">
        <v>10.5</v>
      </c>
      <c r="H225" s="12">
        <v>45119</v>
      </c>
      <c r="I225" t="s">
        <v>17</v>
      </c>
      <c r="J225" t="s">
        <v>25</v>
      </c>
      <c r="K225" t="s">
        <v>33</v>
      </c>
      <c r="L225" s="2">
        <v>80200</v>
      </c>
    </row>
    <row r="226" spans="1:12">
      <c r="A226" t="s">
        <v>507</v>
      </c>
      <c r="B226" t="s">
        <v>508</v>
      </c>
      <c r="C226" t="s">
        <v>110</v>
      </c>
      <c r="D226" t="s">
        <v>60</v>
      </c>
      <c r="E226" t="s">
        <v>52</v>
      </c>
      <c r="F226" s="2">
        <v>925000</v>
      </c>
      <c r="G226" s="3">
        <v>12</v>
      </c>
      <c r="H226" s="12">
        <v>45132</v>
      </c>
      <c r="I226" t="s">
        <v>39</v>
      </c>
      <c r="J226" t="s">
        <v>18</v>
      </c>
      <c r="K226" t="s">
        <v>19</v>
      </c>
      <c r="L226" s="2">
        <v>87500</v>
      </c>
    </row>
    <row r="227" spans="1:12">
      <c r="A227" t="s">
        <v>509</v>
      </c>
      <c r="B227" t="s">
        <v>510</v>
      </c>
      <c r="C227" t="s">
        <v>113</v>
      </c>
      <c r="D227" t="s">
        <v>15</v>
      </c>
      <c r="E227" t="s">
        <v>16</v>
      </c>
      <c r="F227" s="2">
        <v>1922000</v>
      </c>
      <c r="G227" s="3">
        <v>9.75</v>
      </c>
      <c r="H227" s="12">
        <v>45145</v>
      </c>
      <c r="I227" t="s">
        <v>17</v>
      </c>
      <c r="J227" t="s">
        <v>25</v>
      </c>
      <c r="K227" t="s">
        <v>26</v>
      </c>
      <c r="L227" s="2">
        <v>94800</v>
      </c>
    </row>
    <row r="228" spans="1:12">
      <c r="A228" t="s">
        <v>511</v>
      </c>
      <c r="B228" t="s">
        <v>512</v>
      </c>
      <c r="C228" t="s">
        <v>116</v>
      </c>
      <c r="D228" t="s">
        <v>23</v>
      </c>
      <c r="E228" t="s">
        <v>24</v>
      </c>
      <c r="F228" s="2">
        <v>1413000</v>
      </c>
      <c r="G228" s="3">
        <v>7.5</v>
      </c>
      <c r="H228" s="12">
        <v>45158</v>
      </c>
      <c r="I228" t="s">
        <v>39</v>
      </c>
      <c r="J228" t="s">
        <v>32</v>
      </c>
      <c r="K228" t="s">
        <v>33</v>
      </c>
      <c r="L228" s="2">
        <v>102100</v>
      </c>
    </row>
    <row r="229" spans="1:12">
      <c r="A229" t="s">
        <v>513</v>
      </c>
      <c r="B229" t="s">
        <v>514</v>
      </c>
      <c r="C229" t="s">
        <v>67</v>
      </c>
      <c r="D229" t="s">
        <v>30</v>
      </c>
      <c r="E229" t="s">
        <v>31</v>
      </c>
      <c r="F229" s="2">
        <v>9444000</v>
      </c>
      <c r="G229" s="3">
        <v>8.25</v>
      </c>
      <c r="H229" s="12">
        <v>45171</v>
      </c>
      <c r="I229" t="s">
        <v>44</v>
      </c>
      <c r="J229" t="s">
        <v>18</v>
      </c>
      <c r="K229" t="s">
        <v>19</v>
      </c>
      <c r="L229" s="2">
        <v>109400</v>
      </c>
    </row>
    <row r="230" spans="1:12">
      <c r="A230" t="s">
        <v>515</v>
      </c>
      <c r="B230" t="s">
        <v>516</v>
      </c>
      <c r="C230" t="s">
        <v>70</v>
      </c>
      <c r="D230" t="s">
        <v>37</v>
      </c>
      <c r="E230" t="s">
        <v>38</v>
      </c>
      <c r="F230" s="2">
        <v>3339000</v>
      </c>
      <c r="G230" s="3">
        <v>10</v>
      </c>
      <c r="H230" s="12">
        <v>45184</v>
      </c>
      <c r="I230" t="s">
        <v>44</v>
      </c>
      <c r="J230" t="s">
        <v>25</v>
      </c>
      <c r="K230" t="s">
        <v>26</v>
      </c>
      <c r="L230" s="2">
        <v>116700</v>
      </c>
    </row>
    <row r="231" spans="1:12">
      <c r="A231" t="s">
        <v>517</v>
      </c>
      <c r="B231" t="s">
        <v>518</v>
      </c>
      <c r="C231" t="s">
        <v>73</v>
      </c>
      <c r="D231" t="s">
        <v>43</v>
      </c>
      <c r="E231" t="s">
        <v>31</v>
      </c>
      <c r="F231" s="2">
        <v>9790000</v>
      </c>
      <c r="G231" s="3">
        <v>7.5</v>
      </c>
      <c r="H231" s="12">
        <v>45197</v>
      </c>
      <c r="I231" t="s">
        <v>44</v>
      </c>
      <c r="J231" t="s">
        <v>32</v>
      </c>
      <c r="K231" t="s">
        <v>33</v>
      </c>
      <c r="L231" s="2">
        <v>124000</v>
      </c>
    </row>
    <row r="232" spans="1:12">
      <c r="A232" t="s">
        <v>519</v>
      </c>
      <c r="B232" t="s">
        <v>520</v>
      </c>
      <c r="C232" t="s">
        <v>91</v>
      </c>
      <c r="D232" t="s">
        <v>37</v>
      </c>
      <c r="E232" t="s">
        <v>38</v>
      </c>
      <c r="F232" s="2">
        <v>3521000</v>
      </c>
      <c r="G232" s="3">
        <v>9.25</v>
      </c>
      <c r="H232" s="12">
        <v>45210</v>
      </c>
      <c r="I232" t="s">
        <v>17</v>
      </c>
      <c r="J232" t="s">
        <v>18</v>
      </c>
      <c r="K232" t="s">
        <v>19</v>
      </c>
      <c r="L232" s="2">
        <v>131300</v>
      </c>
    </row>
    <row r="233" spans="1:12">
      <c r="A233" t="s">
        <v>521</v>
      </c>
      <c r="B233" t="s">
        <v>522</v>
      </c>
      <c r="C233" t="s">
        <v>14</v>
      </c>
      <c r="D233" t="s">
        <v>43</v>
      </c>
      <c r="E233" t="s">
        <v>52</v>
      </c>
      <c r="F233" s="2">
        <v>1184000</v>
      </c>
      <c r="G233" s="3">
        <v>12.5</v>
      </c>
      <c r="H233" s="12">
        <v>45223</v>
      </c>
      <c r="I233" t="s">
        <v>17</v>
      </c>
      <c r="J233" t="s">
        <v>25</v>
      </c>
      <c r="K233" t="s">
        <v>56</v>
      </c>
      <c r="L233" s="2">
        <v>138600</v>
      </c>
    </row>
    <row r="234" spans="1:12">
      <c r="A234" t="s">
        <v>523</v>
      </c>
      <c r="B234" t="s">
        <v>524</v>
      </c>
      <c r="C234" t="s">
        <v>22</v>
      </c>
      <c r="D234" t="s">
        <v>48</v>
      </c>
      <c r="E234" t="s">
        <v>16</v>
      </c>
      <c r="F234" s="2">
        <v>2251000</v>
      </c>
      <c r="G234" s="3">
        <v>10.25</v>
      </c>
      <c r="H234" s="12">
        <v>45236</v>
      </c>
      <c r="I234" t="s">
        <v>17</v>
      </c>
      <c r="J234" t="s">
        <v>32</v>
      </c>
      <c r="K234" t="s">
        <v>61</v>
      </c>
      <c r="L234" s="2">
        <v>145900</v>
      </c>
    </row>
    <row r="235" spans="1:12">
      <c r="A235" t="s">
        <v>525</v>
      </c>
      <c r="B235" t="s">
        <v>526</v>
      </c>
      <c r="C235" t="s">
        <v>29</v>
      </c>
      <c r="D235" t="s">
        <v>60</v>
      </c>
      <c r="E235" t="s">
        <v>24</v>
      </c>
      <c r="F235" s="2">
        <v>1546000</v>
      </c>
      <c r="G235" s="3">
        <v>8</v>
      </c>
      <c r="H235" s="12">
        <v>45249</v>
      </c>
      <c r="I235" t="s">
        <v>17</v>
      </c>
      <c r="J235" t="s">
        <v>25</v>
      </c>
      <c r="K235" t="s">
        <v>55</v>
      </c>
      <c r="L235" s="2">
        <v>153200</v>
      </c>
    </row>
    <row r="236" spans="1:12">
      <c r="A236" t="s">
        <v>527</v>
      </c>
      <c r="B236" t="s">
        <v>528</v>
      </c>
      <c r="C236" t="s">
        <v>36</v>
      </c>
      <c r="D236" t="s">
        <v>15</v>
      </c>
      <c r="E236" t="s">
        <v>16</v>
      </c>
      <c r="F236" s="2">
        <v>2345000</v>
      </c>
      <c r="G236" s="3">
        <v>9.5</v>
      </c>
      <c r="H236" s="12">
        <v>45262</v>
      </c>
      <c r="I236" t="s">
        <v>44</v>
      </c>
      <c r="J236" t="s">
        <v>32</v>
      </c>
      <c r="K236" t="s">
        <v>56</v>
      </c>
      <c r="L236" s="2">
        <v>160500</v>
      </c>
    </row>
    <row r="237" spans="1:12">
      <c r="A237" t="s">
        <v>529</v>
      </c>
      <c r="B237" t="s">
        <v>530</v>
      </c>
      <c r="C237" t="s">
        <v>42</v>
      </c>
      <c r="D237" t="s">
        <v>23</v>
      </c>
      <c r="E237" t="s">
        <v>24</v>
      </c>
      <c r="F237" s="2">
        <v>1584000</v>
      </c>
      <c r="G237" s="3">
        <v>7.25</v>
      </c>
      <c r="H237" s="12">
        <v>45275</v>
      </c>
      <c r="I237" t="s">
        <v>17</v>
      </c>
      <c r="J237" t="s">
        <v>18</v>
      </c>
      <c r="K237" t="s">
        <v>61</v>
      </c>
      <c r="L237" s="2">
        <v>167800</v>
      </c>
    </row>
    <row r="238" spans="1:12">
      <c r="A238" t="s">
        <v>531</v>
      </c>
      <c r="B238" t="s">
        <v>532</v>
      </c>
      <c r="C238" t="s">
        <v>47</v>
      </c>
      <c r="D238" t="s">
        <v>30</v>
      </c>
      <c r="E238" t="s">
        <v>31</v>
      </c>
      <c r="F238" s="2">
        <v>3001000</v>
      </c>
      <c r="G238" s="3">
        <v>8</v>
      </c>
      <c r="H238" s="12">
        <v>45288</v>
      </c>
      <c r="I238" t="s">
        <v>44</v>
      </c>
      <c r="J238" t="s">
        <v>25</v>
      </c>
      <c r="K238" t="s">
        <v>55</v>
      </c>
      <c r="L238" s="2">
        <v>175100</v>
      </c>
    </row>
    <row r="239" spans="1:12">
      <c r="A239" t="s">
        <v>533</v>
      </c>
      <c r="B239" t="s">
        <v>534</v>
      </c>
      <c r="C239" t="s">
        <v>51</v>
      </c>
      <c r="D239" t="s">
        <v>23</v>
      </c>
      <c r="E239" t="s">
        <v>38</v>
      </c>
      <c r="F239" s="2">
        <v>4158000</v>
      </c>
      <c r="G239" s="3">
        <v>9.75</v>
      </c>
      <c r="H239" s="12">
        <v>45301</v>
      </c>
      <c r="I239" t="s">
        <v>17</v>
      </c>
      <c r="J239" t="s">
        <v>32</v>
      </c>
      <c r="K239" t="s">
        <v>56</v>
      </c>
      <c r="L239" s="2">
        <v>182400</v>
      </c>
    </row>
    <row r="240" spans="1:12">
      <c r="A240" t="s">
        <v>535</v>
      </c>
      <c r="B240" t="s">
        <v>536</v>
      </c>
      <c r="C240" t="s">
        <v>55</v>
      </c>
      <c r="D240" t="s">
        <v>30</v>
      </c>
      <c r="E240" t="s">
        <v>52</v>
      </c>
      <c r="F240" s="2">
        <v>1443000</v>
      </c>
      <c r="G240" s="3">
        <v>13</v>
      </c>
      <c r="H240" s="12">
        <v>45314</v>
      </c>
      <c r="I240" t="s">
        <v>39</v>
      </c>
      <c r="J240" t="s">
        <v>18</v>
      </c>
      <c r="K240" t="s">
        <v>61</v>
      </c>
      <c r="L240" s="2">
        <v>189700</v>
      </c>
    </row>
    <row r="241" spans="1:12">
      <c r="A241" t="s">
        <v>537</v>
      </c>
      <c r="B241" t="s">
        <v>538</v>
      </c>
      <c r="C241" t="s">
        <v>59</v>
      </c>
      <c r="D241" t="s">
        <v>37</v>
      </c>
      <c r="E241" t="s">
        <v>38</v>
      </c>
      <c r="F241" s="2">
        <v>4340000</v>
      </c>
      <c r="G241" s="3">
        <v>9</v>
      </c>
      <c r="H241" s="12">
        <v>45327</v>
      </c>
      <c r="I241" t="s">
        <v>17</v>
      </c>
      <c r="J241" t="s">
        <v>25</v>
      </c>
      <c r="K241" t="s">
        <v>33</v>
      </c>
      <c r="L241" s="2">
        <v>197000</v>
      </c>
    </row>
    <row r="242" spans="1:12">
      <c r="A242" t="s">
        <v>539</v>
      </c>
      <c r="B242" t="s">
        <v>540</v>
      </c>
      <c r="C242" t="s">
        <v>64</v>
      </c>
      <c r="D242" t="s">
        <v>43</v>
      </c>
      <c r="E242" t="s">
        <v>52</v>
      </c>
      <c r="F242" s="2">
        <v>1517000</v>
      </c>
      <c r="G242" s="3">
        <v>12.25</v>
      </c>
      <c r="H242" s="12">
        <v>45340</v>
      </c>
      <c r="I242" t="s">
        <v>44</v>
      </c>
      <c r="J242" t="s">
        <v>32</v>
      </c>
      <c r="K242" t="s">
        <v>19</v>
      </c>
      <c r="L242" s="2">
        <v>204300</v>
      </c>
    </row>
    <row r="243" spans="1:12">
      <c r="A243" t="s">
        <v>541</v>
      </c>
      <c r="B243" t="s">
        <v>542</v>
      </c>
      <c r="C243" t="s">
        <v>67</v>
      </c>
      <c r="D243" t="s">
        <v>48</v>
      </c>
      <c r="E243" t="s">
        <v>16</v>
      </c>
      <c r="F243" s="2">
        <v>2674000</v>
      </c>
      <c r="G243" s="3">
        <v>10</v>
      </c>
      <c r="H243" s="12">
        <v>45353</v>
      </c>
      <c r="I243" t="s">
        <v>44</v>
      </c>
      <c r="J243" t="s">
        <v>18</v>
      </c>
      <c r="K243" t="s">
        <v>26</v>
      </c>
      <c r="L243" s="2">
        <v>211600</v>
      </c>
    </row>
    <row r="244" spans="1:12">
      <c r="A244" t="s">
        <v>543</v>
      </c>
      <c r="B244" t="s">
        <v>544</v>
      </c>
      <c r="C244" t="s">
        <v>70</v>
      </c>
      <c r="D244" t="s">
        <v>60</v>
      </c>
      <c r="E244" t="s">
        <v>24</v>
      </c>
      <c r="F244" s="2">
        <v>217000</v>
      </c>
      <c r="G244" s="3">
        <v>7.75</v>
      </c>
      <c r="H244" s="12">
        <v>45366</v>
      </c>
      <c r="I244" t="s">
        <v>17</v>
      </c>
      <c r="J244" t="s">
        <v>32</v>
      </c>
      <c r="K244" t="s">
        <v>33</v>
      </c>
      <c r="L244" s="2">
        <v>218900</v>
      </c>
    </row>
    <row r="245" spans="1:12">
      <c r="A245" t="s">
        <v>545</v>
      </c>
      <c r="B245" t="s">
        <v>546</v>
      </c>
      <c r="C245" t="s">
        <v>73</v>
      </c>
      <c r="D245" t="s">
        <v>15</v>
      </c>
      <c r="E245" t="s">
        <v>31</v>
      </c>
      <c r="F245" s="2">
        <v>4212000</v>
      </c>
      <c r="G245" s="3">
        <v>8.5</v>
      </c>
      <c r="H245" s="12">
        <v>45379</v>
      </c>
      <c r="I245" t="s">
        <v>39</v>
      </c>
      <c r="J245" t="s">
        <v>18</v>
      </c>
      <c r="K245" t="s">
        <v>19</v>
      </c>
      <c r="L245" s="2">
        <v>226200</v>
      </c>
    </row>
    <row r="246" spans="1:12">
      <c r="A246" t="s">
        <v>547</v>
      </c>
      <c r="B246" t="s">
        <v>548</v>
      </c>
      <c r="C246" t="s">
        <v>76</v>
      </c>
      <c r="D246" t="s">
        <v>60</v>
      </c>
      <c r="E246" t="s">
        <v>24</v>
      </c>
      <c r="F246" s="2">
        <v>255000</v>
      </c>
      <c r="G246" s="3">
        <v>7</v>
      </c>
      <c r="H246" s="12">
        <v>45392</v>
      </c>
      <c r="I246" t="s">
        <v>44</v>
      </c>
      <c r="J246" t="s">
        <v>25</v>
      </c>
      <c r="K246" t="s">
        <v>26</v>
      </c>
      <c r="L246" s="2">
        <v>233500</v>
      </c>
    </row>
    <row r="247" spans="1:12">
      <c r="A247" t="s">
        <v>549</v>
      </c>
      <c r="B247" t="s">
        <v>550</v>
      </c>
      <c r="C247" t="s">
        <v>79</v>
      </c>
      <c r="D247" t="s">
        <v>15</v>
      </c>
      <c r="E247" t="s">
        <v>31</v>
      </c>
      <c r="F247" s="2">
        <v>4558000</v>
      </c>
      <c r="G247" s="3">
        <v>7.75</v>
      </c>
      <c r="H247" s="12">
        <v>45405</v>
      </c>
      <c r="I247" t="s">
        <v>44</v>
      </c>
      <c r="J247" t="s">
        <v>32</v>
      </c>
      <c r="K247" t="s">
        <v>33</v>
      </c>
      <c r="L247" s="2">
        <v>240800</v>
      </c>
    </row>
    <row r="248" spans="1:12">
      <c r="A248" t="s">
        <v>551</v>
      </c>
      <c r="B248" t="s">
        <v>552</v>
      </c>
      <c r="C248" t="s">
        <v>82</v>
      </c>
      <c r="D248" t="s">
        <v>23</v>
      </c>
      <c r="E248" t="s">
        <v>38</v>
      </c>
      <c r="F248" s="2">
        <v>4977000</v>
      </c>
      <c r="G248" s="3">
        <v>9.5</v>
      </c>
      <c r="H248" s="12">
        <v>45418</v>
      </c>
      <c r="I248" t="s">
        <v>44</v>
      </c>
      <c r="J248" t="s">
        <v>18</v>
      </c>
      <c r="K248" t="s">
        <v>19</v>
      </c>
      <c r="L248" s="2">
        <v>248100</v>
      </c>
    </row>
    <row r="249" spans="1:12">
      <c r="A249" t="s">
        <v>553</v>
      </c>
      <c r="B249" t="s">
        <v>554</v>
      </c>
      <c r="C249" t="s">
        <v>85</v>
      </c>
      <c r="D249" t="s">
        <v>30</v>
      </c>
      <c r="E249" t="s">
        <v>52</v>
      </c>
      <c r="F249" s="2">
        <v>1776000</v>
      </c>
      <c r="G249" s="3">
        <v>12.75</v>
      </c>
      <c r="H249" s="12">
        <v>45431</v>
      </c>
      <c r="I249" t="s">
        <v>17</v>
      </c>
      <c r="J249" t="s">
        <v>25</v>
      </c>
      <c r="K249" t="s">
        <v>56</v>
      </c>
      <c r="L249" s="2">
        <v>255400</v>
      </c>
    </row>
    <row r="250" spans="1:12">
      <c r="A250" t="s">
        <v>555</v>
      </c>
      <c r="B250" t="s">
        <v>556</v>
      </c>
      <c r="C250" t="s">
        <v>88</v>
      </c>
      <c r="D250" t="s">
        <v>37</v>
      </c>
      <c r="E250" t="s">
        <v>16</v>
      </c>
      <c r="F250" s="2">
        <v>3003000</v>
      </c>
      <c r="G250" s="3">
        <v>10.5</v>
      </c>
      <c r="H250" s="12">
        <v>45444</v>
      </c>
      <c r="I250" t="s">
        <v>39</v>
      </c>
      <c r="J250" t="s">
        <v>32</v>
      </c>
      <c r="K250" t="s">
        <v>61</v>
      </c>
      <c r="L250" s="2">
        <v>262700</v>
      </c>
    </row>
    <row r="251" spans="1:12">
      <c r="A251" t="s">
        <v>557</v>
      </c>
      <c r="B251" t="s">
        <v>558</v>
      </c>
      <c r="C251" t="s">
        <v>91</v>
      </c>
      <c r="D251" t="s">
        <v>43</v>
      </c>
      <c r="E251" t="s">
        <v>52</v>
      </c>
      <c r="F251" s="2">
        <v>1850000</v>
      </c>
      <c r="G251" s="3">
        <v>12</v>
      </c>
      <c r="H251" s="12">
        <v>45457</v>
      </c>
      <c r="I251" t="s">
        <v>39</v>
      </c>
      <c r="J251" t="s">
        <v>18</v>
      </c>
      <c r="K251" t="s">
        <v>55</v>
      </c>
      <c r="L251" s="2">
        <v>270000</v>
      </c>
    </row>
    <row r="252" spans="1:12">
      <c r="A252" t="s">
        <v>559</v>
      </c>
      <c r="B252" t="s">
        <v>560</v>
      </c>
      <c r="C252" t="s">
        <v>14</v>
      </c>
      <c r="D252" t="s">
        <v>48</v>
      </c>
      <c r="E252" t="s">
        <v>16</v>
      </c>
      <c r="F252" s="2">
        <v>3097000</v>
      </c>
      <c r="G252" s="3">
        <v>9.75</v>
      </c>
      <c r="H252" s="12">
        <v>45470</v>
      </c>
      <c r="I252" t="s">
        <v>39</v>
      </c>
      <c r="J252" t="s">
        <v>25</v>
      </c>
      <c r="K252" t="s">
        <v>56</v>
      </c>
      <c r="L252" s="2">
        <v>277300</v>
      </c>
    </row>
    <row r="253" spans="1:12">
      <c r="A253" t="s">
        <v>561</v>
      </c>
      <c r="B253" t="s">
        <v>562</v>
      </c>
      <c r="C253" t="s">
        <v>22</v>
      </c>
      <c r="D253" t="s">
        <v>43</v>
      </c>
      <c r="E253" t="s">
        <v>24</v>
      </c>
      <c r="F253" s="2">
        <v>388000</v>
      </c>
      <c r="G253" s="3">
        <v>7.5</v>
      </c>
      <c r="H253" s="12">
        <v>45483</v>
      </c>
      <c r="I253" t="s">
        <v>44</v>
      </c>
      <c r="J253" t="s">
        <v>18</v>
      </c>
      <c r="K253" t="s">
        <v>61</v>
      </c>
      <c r="L253" s="2">
        <v>284600</v>
      </c>
    </row>
    <row r="254" spans="1:12">
      <c r="A254" t="s">
        <v>563</v>
      </c>
      <c r="B254" t="s">
        <v>564</v>
      </c>
      <c r="C254" t="s">
        <v>55</v>
      </c>
      <c r="D254" t="s">
        <v>48</v>
      </c>
      <c r="E254" t="s">
        <v>31</v>
      </c>
      <c r="F254" s="2">
        <v>5769000</v>
      </c>
      <c r="G254" s="3">
        <v>8.25</v>
      </c>
      <c r="H254" s="12">
        <v>45496</v>
      </c>
      <c r="I254" t="s">
        <v>44</v>
      </c>
      <c r="J254" t="s">
        <v>25</v>
      </c>
      <c r="K254" t="s">
        <v>55</v>
      </c>
      <c r="L254" s="2">
        <v>291900</v>
      </c>
    </row>
    <row r="255" spans="1:12">
      <c r="A255" t="s">
        <v>565</v>
      </c>
      <c r="B255" t="s">
        <v>566</v>
      </c>
      <c r="C255" t="s">
        <v>59</v>
      </c>
      <c r="D255" t="s">
        <v>60</v>
      </c>
      <c r="E255" t="s">
        <v>38</v>
      </c>
      <c r="F255" s="2">
        <v>5614000</v>
      </c>
      <c r="G255" s="3">
        <v>10</v>
      </c>
      <c r="H255" s="12">
        <v>45509</v>
      </c>
      <c r="I255" t="s">
        <v>39</v>
      </c>
      <c r="J255" t="s">
        <v>32</v>
      </c>
      <c r="K255" t="s">
        <v>56</v>
      </c>
      <c r="L255" s="2">
        <v>299200</v>
      </c>
    </row>
    <row r="256" spans="1:12">
      <c r="A256" t="s">
        <v>567</v>
      </c>
      <c r="B256" t="s">
        <v>568</v>
      </c>
      <c r="C256" t="s">
        <v>64</v>
      </c>
      <c r="D256" t="s">
        <v>15</v>
      </c>
      <c r="E256" t="s">
        <v>31</v>
      </c>
      <c r="F256" s="2">
        <v>6115000</v>
      </c>
      <c r="G256" s="3">
        <v>7.5</v>
      </c>
      <c r="H256" s="12">
        <v>45522</v>
      </c>
      <c r="I256" t="s">
        <v>39</v>
      </c>
      <c r="J256" t="s">
        <v>18</v>
      </c>
      <c r="K256" t="s">
        <v>61</v>
      </c>
      <c r="L256" s="2">
        <v>306500</v>
      </c>
    </row>
    <row r="257" spans="1:12">
      <c r="A257" t="s">
        <v>569</v>
      </c>
      <c r="B257" t="s">
        <v>570</v>
      </c>
      <c r="C257" t="s">
        <v>104</v>
      </c>
      <c r="D257" t="s">
        <v>23</v>
      </c>
      <c r="E257" t="s">
        <v>38</v>
      </c>
      <c r="F257" s="2">
        <v>5796000</v>
      </c>
      <c r="G257" s="3">
        <v>9.25</v>
      </c>
      <c r="H257" s="12">
        <v>45535</v>
      </c>
      <c r="I257" t="s">
        <v>17</v>
      </c>
      <c r="J257" t="s">
        <v>25</v>
      </c>
      <c r="K257" t="s">
        <v>33</v>
      </c>
      <c r="L257" s="2">
        <v>313800</v>
      </c>
    </row>
    <row r="258" spans="1:12">
      <c r="A258" t="s">
        <v>571</v>
      </c>
      <c r="B258" t="s">
        <v>572</v>
      </c>
      <c r="C258" t="s">
        <v>107</v>
      </c>
      <c r="D258" t="s">
        <v>30</v>
      </c>
      <c r="E258" t="s">
        <v>52</v>
      </c>
      <c r="F258" s="2">
        <v>2109000</v>
      </c>
      <c r="G258" s="3">
        <v>12.5</v>
      </c>
      <c r="H258" s="12">
        <v>45548</v>
      </c>
      <c r="I258" t="s">
        <v>39</v>
      </c>
      <c r="J258" t="s">
        <v>32</v>
      </c>
      <c r="K258" t="s">
        <v>19</v>
      </c>
      <c r="L258" s="2">
        <v>321100</v>
      </c>
    </row>
    <row r="259" spans="1:12">
      <c r="A259" t="s">
        <v>573</v>
      </c>
      <c r="B259" t="s">
        <v>574</v>
      </c>
      <c r="C259" t="s">
        <v>110</v>
      </c>
      <c r="D259" t="s">
        <v>37</v>
      </c>
      <c r="E259" t="s">
        <v>16</v>
      </c>
      <c r="F259" s="2">
        <v>426000</v>
      </c>
      <c r="G259" s="3">
        <v>10.25</v>
      </c>
      <c r="H259" s="12">
        <v>45561</v>
      </c>
      <c r="I259" t="s">
        <v>44</v>
      </c>
      <c r="J259" t="s">
        <v>18</v>
      </c>
      <c r="K259" t="s">
        <v>26</v>
      </c>
      <c r="L259" s="2">
        <v>328400</v>
      </c>
    </row>
    <row r="260" spans="1:12">
      <c r="A260" t="s">
        <v>575</v>
      </c>
      <c r="B260" t="s">
        <v>576</v>
      </c>
      <c r="C260" t="s">
        <v>113</v>
      </c>
      <c r="D260" t="s">
        <v>30</v>
      </c>
      <c r="E260" t="s">
        <v>24</v>
      </c>
      <c r="F260" s="2">
        <v>521000</v>
      </c>
      <c r="G260" s="3">
        <v>8</v>
      </c>
      <c r="H260" s="12">
        <v>45574</v>
      </c>
      <c r="I260" t="s">
        <v>39</v>
      </c>
      <c r="J260" t="s">
        <v>25</v>
      </c>
      <c r="K260" t="s">
        <v>33</v>
      </c>
      <c r="L260" s="2">
        <v>335700</v>
      </c>
    </row>
    <row r="261" spans="1:12">
      <c r="A261" t="s">
        <v>577</v>
      </c>
      <c r="B261" t="s">
        <v>578</v>
      </c>
      <c r="C261" t="s">
        <v>116</v>
      </c>
      <c r="D261" t="s">
        <v>37</v>
      </c>
      <c r="E261" t="s">
        <v>16</v>
      </c>
      <c r="F261" s="2">
        <v>520000</v>
      </c>
      <c r="G261" s="3">
        <v>9.5</v>
      </c>
      <c r="H261" s="12">
        <v>45587</v>
      </c>
      <c r="I261" t="s">
        <v>44</v>
      </c>
      <c r="J261" t="s">
        <v>32</v>
      </c>
      <c r="K261" t="s">
        <v>19</v>
      </c>
      <c r="L261" s="2">
        <v>343000</v>
      </c>
    </row>
    <row r="262" spans="1:12">
      <c r="A262" t="s">
        <v>579</v>
      </c>
      <c r="B262" t="s">
        <v>580</v>
      </c>
      <c r="C262" t="s">
        <v>67</v>
      </c>
      <c r="D262" t="s">
        <v>43</v>
      </c>
      <c r="E262" t="s">
        <v>24</v>
      </c>
      <c r="F262" s="2">
        <v>559000</v>
      </c>
      <c r="G262" s="3">
        <v>7.25</v>
      </c>
      <c r="H262" s="12">
        <v>45600</v>
      </c>
      <c r="I262" t="s">
        <v>44</v>
      </c>
      <c r="J262" t="s">
        <v>25</v>
      </c>
      <c r="K262" t="s">
        <v>26</v>
      </c>
      <c r="L262" s="2">
        <v>350300</v>
      </c>
    </row>
    <row r="263" spans="1:12">
      <c r="A263" t="s">
        <v>581</v>
      </c>
      <c r="B263" t="s">
        <v>582</v>
      </c>
      <c r="C263" t="s">
        <v>70</v>
      </c>
      <c r="D263" t="s">
        <v>48</v>
      </c>
      <c r="E263" t="s">
        <v>31</v>
      </c>
      <c r="F263" s="2">
        <v>7326000</v>
      </c>
      <c r="G263" s="3">
        <v>8</v>
      </c>
      <c r="H263" s="12">
        <v>45613</v>
      </c>
      <c r="I263" t="s">
        <v>39</v>
      </c>
      <c r="J263" t="s">
        <v>32</v>
      </c>
      <c r="K263" t="s">
        <v>33</v>
      </c>
      <c r="L263" s="2">
        <v>357600</v>
      </c>
    </row>
    <row r="264" spans="1:12">
      <c r="A264" t="s">
        <v>583</v>
      </c>
      <c r="B264" t="s">
        <v>584</v>
      </c>
      <c r="C264" t="s">
        <v>73</v>
      </c>
      <c r="D264" t="s">
        <v>60</v>
      </c>
      <c r="E264" t="s">
        <v>38</v>
      </c>
      <c r="F264" s="2">
        <v>6433000</v>
      </c>
      <c r="G264" s="3">
        <v>9.75</v>
      </c>
      <c r="H264" s="12">
        <v>45626</v>
      </c>
      <c r="I264" t="s">
        <v>44</v>
      </c>
      <c r="J264" t="s">
        <v>18</v>
      </c>
      <c r="K264" t="s">
        <v>19</v>
      </c>
      <c r="L264" s="2">
        <v>364900</v>
      </c>
    </row>
    <row r="265" spans="1:12">
      <c r="A265" t="s">
        <v>585</v>
      </c>
      <c r="B265" t="s">
        <v>586</v>
      </c>
      <c r="C265" t="s">
        <v>91</v>
      </c>
      <c r="D265" t="s">
        <v>15</v>
      </c>
      <c r="E265" t="s">
        <v>52</v>
      </c>
      <c r="F265" s="2">
        <v>2368000</v>
      </c>
      <c r="G265" s="3">
        <v>13</v>
      </c>
      <c r="H265" s="12">
        <v>45639</v>
      </c>
      <c r="I265" t="s">
        <v>17</v>
      </c>
      <c r="J265" t="s">
        <v>25</v>
      </c>
      <c r="K265" t="s">
        <v>56</v>
      </c>
      <c r="L265" s="2">
        <v>372200</v>
      </c>
    </row>
    <row r="266" spans="1:12">
      <c r="A266" t="s">
        <v>587</v>
      </c>
      <c r="B266" t="s">
        <v>588</v>
      </c>
      <c r="C266" t="s">
        <v>14</v>
      </c>
      <c r="D266" t="s">
        <v>23</v>
      </c>
      <c r="E266" t="s">
        <v>38</v>
      </c>
      <c r="F266" s="2">
        <v>615000</v>
      </c>
      <c r="G266" s="3">
        <v>9</v>
      </c>
      <c r="H266" s="12">
        <v>45652</v>
      </c>
      <c r="I266" t="s">
        <v>44</v>
      </c>
      <c r="J266" t="s">
        <v>32</v>
      </c>
      <c r="K266" t="s">
        <v>61</v>
      </c>
      <c r="L266" s="2">
        <v>379500</v>
      </c>
    </row>
    <row r="267" spans="1:12">
      <c r="A267" t="s">
        <v>589</v>
      </c>
      <c r="B267" t="s">
        <v>590</v>
      </c>
      <c r="C267" t="s">
        <v>22</v>
      </c>
      <c r="D267" t="s">
        <v>15</v>
      </c>
      <c r="E267" t="s">
        <v>52</v>
      </c>
      <c r="F267" s="2">
        <v>2442000</v>
      </c>
      <c r="G267" s="3">
        <v>12.25</v>
      </c>
      <c r="H267" s="12">
        <v>45665</v>
      </c>
      <c r="I267" t="s">
        <v>17</v>
      </c>
      <c r="J267" t="s">
        <v>18</v>
      </c>
      <c r="K267" t="s">
        <v>55</v>
      </c>
      <c r="L267" s="2">
        <v>386800</v>
      </c>
    </row>
    <row r="268" spans="1:12">
      <c r="A268" t="s">
        <v>591</v>
      </c>
      <c r="B268" t="s">
        <v>592</v>
      </c>
      <c r="C268" t="s">
        <v>29</v>
      </c>
      <c r="D268" t="s">
        <v>23</v>
      </c>
      <c r="E268" t="s">
        <v>16</v>
      </c>
      <c r="F268" s="2">
        <v>849000</v>
      </c>
      <c r="G268" s="3">
        <v>10</v>
      </c>
      <c r="H268" s="12">
        <v>45678</v>
      </c>
      <c r="I268" t="s">
        <v>39</v>
      </c>
      <c r="J268" t="s">
        <v>25</v>
      </c>
      <c r="K268" t="s">
        <v>56</v>
      </c>
      <c r="L268" s="2">
        <v>394100</v>
      </c>
    </row>
    <row r="269" spans="1:12">
      <c r="A269" t="s">
        <v>593</v>
      </c>
      <c r="B269" t="s">
        <v>594</v>
      </c>
      <c r="C269" t="s">
        <v>36</v>
      </c>
      <c r="D269" t="s">
        <v>30</v>
      </c>
      <c r="E269" t="s">
        <v>24</v>
      </c>
      <c r="F269" s="2">
        <v>692000</v>
      </c>
      <c r="G269" s="3">
        <v>7.75</v>
      </c>
      <c r="H269" s="12">
        <v>45691</v>
      </c>
      <c r="I269" t="s">
        <v>17</v>
      </c>
      <c r="J269" t="s">
        <v>32</v>
      </c>
      <c r="K269" t="s">
        <v>61</v>
      </c>
      <c r="L269" s="2">
        <v>401400</v>
      </c>
    </row>
    <row r="270" spans="1:12">
      <c r="A270" t="s">
        <v>595</v>
      </c>
      <c r="B270" t="s">
        <v>596</v>
      </c>
      <c r="C270" t="s">
        <v>42</v>
      </c>
      <c r="D270" t="s">
        <v>37</v>
      </c>
      <c r="E270" t="s">
        <v>31</v>
      </c>
      <c r="F270" s="2">
        <v>8537000</v>
      </c>
      <c r="G270" s="3">
        <v>8.5</v>
      </c>
      <c r="H270" s="12">
        <v>45704</v>
      </c>
      <c r="I270" t="s">
        <v>39</v>
      </c>
      <c r="J270" t="s">
        <v>18</v>
      </c>
      <c r="K270" t="s">
        <v>55</v>
      </c>
      <c r="L270" s="2">
        <v>408700</v>
      </c>
    </row>
    <row r="271" spans="1:12">
      <c r="A271" t="s">
        <v>597</v>
      </c>
      <c r="B271" t="s">
        <v>598</v>
      </c>
      <c r="C271" t="s">
        <v>47</v>
      </c>
      <c r="D271" t="s">
        <v>43</v>
      </c>
      <c r="E271" t="s">
        <v>24</v>
      </c>
      <c r="F271" s="2">
        <v>730000</v>
      </c>
      <c r="G271" s="3">
        <v>7</v>
      </c>
      <c r="H271" s="12">
        <v>45717</v>
      </c>
      <c r="I271" t="s">
        <v>44</v>
      </c>
      <c r="J271" t="s">
        <v>32</v>
      </c>
      <c r="K271" t="s">
        <v>56</v>
      </c>
      <c r="L271" s="2">
        <v>416000</v>
      </c>
    </row>
    <row r="272" spans="1:12">
      <c r="A272" t="s">
        <v>599</v>
      </c>
      <c r="B272" t="s">
        <v>600</v>
      </c>
      <c r="C272" t="s">
        <v>51</v>
      </c>
      <c r="D272" t="s">
        <v>48</v>
      </c>
      <c r="E272" t="s">
        <v>31</v>
      </c>
      <c r="F272" s="2">
        <v>8883000</v>
      </c>
      <c r="G272" s="3">
        <v>7.75</v>
      </c>
      <c r="H272" s="12">
        <v>45730</v>
      </c>
      <c r="I272" t="s">
        <v>17</v>
      </c>
      <c r="J272" t="s">
        <v>18</v>
      </c>
      <c r="K272" t="s">
        <v>61</v>
      </c>
      <c r="L272" s="2">
        <v>423300</v>
      </c>
    </row>
    <row r="273" spans="1:16">
      <c r="A273" t="s">
        <v>601</v>
      </c>
      <c r="B273" t="s">
        <v>602</v>
      </c>
      <c r="C273" t="s">
        <v>55</v>
      </c>
      <c r="D273" t="s">
        <v>60</v>
      </c>
      <c r="E273" t="s">
        <v>38</v>
      </c>
      <c r="F273" s="2">
        <v>1252000</v>
      </c>
      <c r="G273" s="3">
        <v>9.5</v>
      </c>
      <c r="H273" s="12">
        <v>45743</v>
      </c>
      <c r="I273" t="s">
        <v>17</v>
      </c>
      <c r="J273" t="s">
        <v>25</v>
      </c>
      <c r="K273" t="s">
        <v>33</v>
      </c>
      <c r="L273" s="2">
        <v>430600</v>
      </c>
    </row>
    <row r="274" spans="1:16">
      <c r="A274" t="s">
        <v>603</v>
      </c>
      <c r="B274" t="s">
        <v>604</v>
      </c>
      <c r="C274" t="s">
        <v>59</v>
      </c>
      <c r="D274" t="s">
        <v>48</v>
      </c>
      <c r="E274" t="s">
        <v>52</v>
      </c>
      <c r="F274" s="2">
        <v>201000</v>
      </c>
      <c r="G274" s="3">
        <v>12.75</v>
      </c>
      <c r="H274" s="12">
        <v>45756</v>
      </c>
      <c r="I274" t="s">
        <v>17</v>
      </c>
      <c r="J274" t="s">
        <v>32</v>
      </c>
      <c r="K274" t="s">
        <v>19</v>
      </c>
      <c r="L274" s="2">
        <v>437900</v>
      </c>
    </row>
    <row r="275" spans="1:16">
      <c r="A275" t="s">
        <v>605</v>
      </c>
      <c r="B275" t="s">
        <v>606</v>
      </c>
      <c r="C275" t="s">
        <v>64</v>
      </c>
      <c r="D275" t="s">
        <v>60</v>
      </c>
      <c r="E275" t="s">
        <v>16</v>
      </c>
      <c r="F275" s="2">
        <v>1178000</v>
      </c>
      <c r="G275" s="3">
        <v>10.5</v>
      </c>
      <c r="H275" s="12">
        <v>45769</v>
      </c>
      <c r="I275" t="s">
        <v>39</v>
      </c>
      <c r="J275" t="s">
        <v>18</v>
      </c>
      <c r="K275" t="s">
        <v>26</v>
      </c>
      <c r="L275" s="2">
        <v>45200</v>
      </c>
    </row>
    <row r="276" spans="1:16">
      <c r="A276" t="s">
        <v>607</v>
      </c>
      <c r="B276" t="s">
        <v>608</v>
      </c>
      <c r="C276" t="s">
        <v>67</v>
      </c>
      <c r="D276" t="s">
        <v>15</v>
      </c>
      <c r="E276" t="s">
        <v>52</v>
      </c>
      <c r="F276" s="2">
        <v>275000</v>
      </c>
      <c r="G276" s="3">
        <v>12</v>
      </c>
      <c r="H276" s="12">
        <v>45782</v>
      </c>
      <c r="I276" t="s">
        <v>39</v>
      </c>
      <c r="J276" t="s">
        <v>25</v>
      </c>
      <c r="K276" t="s">
        <v>33</v>
      </c>
      <c r="L276" s="2">
        <v>52500</v>
      </c>
    </row>
    <row r="277" spans="1:16">
      <c r="A277" t="s">
        <v>609</v>
      </c>
      <c r="B277" t="s">
        <v>610</v>
      </c>
      <c r="C277" t="s">
        <v>70</v>
      </c>
      <c r="D277" t="s">
        <v>23</v>
      </c>
      <c r="E277" t="s">
        <v>16</v>
      </c>
      <c r="F277" s="2">
        <v>1272000</v>
      </c>
      <c r="G277" s="3">
        <v>9.75</v>
      </c>
      <c r="H277" s="12">
        <v>45795</v>
      </c>
      <c r="I277" t="s">
        <v>44</v>
      </c>
      <c r="J277" t="s">
        <v>32</v>
      </c>
      <c r="K277" t="s">
        <v>19</v>
      </c>
      <c r="L277" s="2">
        <v>59800</v>
      </c>
    </row>
    <row r="278" spans="1:16">
      <c r="A278" t="s">
        <v>611</v>
      </c>
      <c r="B278" t="s">
        <v>612</v>
      </c>
      <c r="C278" t="s">
        <v>73</v>
      </c>
      <c r="D278" t="s">
        <v>30</v>
      </c>
      <c r="E278" t="s">
        <v>24</v>
      </c>
      <c r="F278" s="2">
        <v>863000</v>
      </c>
      <c r="G278" s="3">
        <v>7.5</v>
      </c>
      <c r="H278" s="12">
        <v>45808</v>
      </c>
      <c r="I278" t="s">
        <v>44</v>
      </c>
      <c r="J278" t="s">
        <v>18</v>
      </c>
      <c r="K278" t="s">
        <v>26</v>
      </c>
      <c r="L278" s="2">
        <v>67100</v>
      </c>
    </row>
    <row r="279" spans="1:16">
      <c r="A279" t="s">
        <v>613</v>
      </c>
      <c r="B279" t="s">
        <v>614</v>
      </c>
      <c r="C279" t="s">
        <v>76</v>
      </c>
      <c r="D279" t="s">
        <v>37</v>
      </c>
      <c r="E279" t="s">
        <v>31</v>
      </c>
      <c r="F279" s="2">
        <v>2094000</v>
      </c>
      <c r="G279" s="3">
        <v>8.25</v>
      </c>
      <c r="H279" s="12">
        <v>45821</v>
      </c>
      <c r="I279" t="s">
        <v>17</v>
      </c>
      <c r="J279" t="s">
        <v>25</v>
      </c>
      <c r="K279" t="s">
        <v>33</v>
      </c>
      <c r="L279" s="2">
        <v>74400</v>
      </c>
    </row>
    <row r="280" spans="1:16">
      <c r="A280" t="s">
        <v>615</v>
      </c>
      <c r="B280" t="s">
        <v>616</v>
      </c>
      <c r="C280" t="s">
        <v>79</v>
      </c>
      <c r="D280" t="s">
        <v>43</v>
      </c>
      <c r="E280" t="s">
        <v>38</v>
      </c>
      <c r="F280" s="2">
        <v>1889000</v>
      </c>
      <c r="G280" s="3">
        <v>10</v>
      </c>
      <c r="H280" s="12">
        <v>45834</v>
      </c>
      <c r="I280" t="s">
        <v>39</v>
      </c>
      <c r="J280" t="s">
        <v>18</v>
      </c>
      <c r="K280" t="s">
        <v>19</v>
      </c>
      <c r="L280" s="2">
        <v>81700</v>
      </c>
    </row>
    <row r="281" spans="1:16">
      <c r="A281" t="s">
        <v>617</v>
      </c>
      <c r="B281" t="s">
        <v>618</v>
      </c>
      <c r="C281" t="s">
        <v>82</v>
      </c>
      <c r="D281" t="s">
        <v>37</v>
      </c>
      <c r="E281" t="s">
        <v>31</v>
      </c>
      <c r="F281" s="2">
        <v>2440000</v>
      </c>
      <c r="G281" s="3">
        <v>7.5</v>
      </c>
      <c r="H281" s="12">
        <v>45847</v>
      </c>
      <c r="I281" t="s">
        <v>17</v>
      </c>
      <c r="J281" t="s">
        <v>25</v>
      </c>
      <c r="K281" t="s">
        <v>56</v>
      </c>
      <c r="L281" s="2">
        <v>89000</v>
      </c>
    </row>
    <row r="282" spans="1:16">
      <c r="A282" t="s">
        <v>619</v>
      </c>
      <c r="B282" t="s">
        <v>620</v>
      </c>
      <c r="C282" t="s">
        <v>85</v>
      </c>
      <c r="D282" t="s">
        <v>43</v>
      </c>
      <c r="E282" t="s">
        <v>38</v>
      </c>
      <c r="F282" s="2">
        <v>2071000</v>
      </c>
      <c r="G282" s="3">
        <v>9.25</v>
      </c>
      <c r="H282" s="12">
        <v>45860</v>
      </c>
      <c r="I282" t="s">
        <v>44</v>
      </c>
      <c r="J282" t="s">
        <v>32</v>
      </c>
      <c r="K282" t="s">
        <v>61</v>
      </c>
      <c r="L282" s="2">
        <v>96300</v>
      </c>
    </row>
    <row r="283" spans="1:16">
      <c r="A283" t="s">
        <v>621</v>
      </c>
      <c r="B283" t="s">
        <v>622</v>
      </c>
      <c r="C283" t="s">
        <v>88</v>
      </c>
      <c r="D283" t="s">
        <v>48</v>
      </c>
      <c r="E283" t="s">
        <v>52</v>
      </c>
      <c r="F283" s="2">
        <v>534000</v>
      </c>
      <c r="G283" s="3">
        <v>12.5</v>
      </c>
      <c r="H283" s="12">
        <v>45873</v>
      </c>
      <c r="I283" t="s">
        <v>44</v>
      </c>
      <c r="J283" t="s">
        <v>18</v>
      </c>
      <c r="K283" t="s">
        <v>55</v>
      </c>
      <c r="L283" s="2">
        <v>103600</v>
      </c>
    </row>
    <row r="284" spans="1:16">
      <c r="A284" t="s">
        <v>623</v>
      </c>
      <c r="B284" t="s">
        <v>624</v>
      </c>
      <c r="C284" t="s">
        <v>91</v>
      </c>
      <c r="D284" t="s">
        <v>60</v>
      </c>
      <c r="E284" t="s">
        <v>16</v>
      </c>
      <c r="F284" s="2">
        <v>1601000</v>
      </c>
      <c r="G284" s="3">
        <v>10.25</v>
      </c>
      <c r="H284" s="12">
        <v>45886</v>
      </c>
      <c r="I284" t="s">
        <v>39</v>
      </c>
      <c r="J284" t="s">
        <v>25</v>
      </c>
      <c r="K284" t="s">
        <v>56</v>
      </c>
      <c r="L284" s="2">
        <v>110900</v>
      </c>
    </row>
    <row r="285" spans="1:16">
      <c r="A285" t="s">
        <v>625</v>
      </c>
      <c r="B285" t="s">
        <v>626</v>
      </c>
      <c r="C285" t="s">
        <v>14</v>
      </c>
      <c r="D285" t="s">
        <v>15</v>
      </c>
      <c r="E285" t="s">
        <v>24</v>
      </c>
      <c r="F285" s="2">
        <v>996000</v>
      </c>
      <c r="G285" s="3">
        <v>8</v>
      </c>
      <c r="H285" s="12">
        <v>45899</v>
      </c>
      <c r="I285" t="s">
        <v>39</v>
      </c>
      <c r="J285" t="s">
        <v>32</v>
      </c>
      <c r="K285" t="s">
        <v>61</v>
      </c>
      <c r="L285" s="2">
        <v>118200</v>
      </c>
    </row>
    <row r="286" spans="1:16">
      <c r="A286" t="s">
        <v>627</v>
      </c>
      <c r="B286" t="s">
        <v>628</v>
      </c>
      <c r="C286" t="s">
        <v>22</v>
      </c>
      <c r="D286" t="s">
        <v>23</v>
      </c>
      <c r="E286" t="s">
        <v>16</v>
      </c>
      <c r="F286" s="2">
        <v>1695000</v>
      </c>
      <c r="G286" s="3">
        <v>9.5</v>
      </c>
      <c r="H286" s="12">
        <v>45912</v>
      </c>
      <c r="I286" t="s">
        <v>39</v>
      </c>
      <c r="J286" t="s">
        <v>18</v>
      </c>
      <c r="K286" t="s">
        <v>55</v>
      </c>
      <c r="L286" s="2">
        <v>125500</v>
      </c>
    </row>
    <row r="287" spans="1:16">
      <c r="A287" t="s">
        <v>629</v>
      </c>
      <c r="B287" t="s">
        <v>630</v>
      </c>
      <c r="C287" t="s">
        <v>55</v>
      </c>
      <c r="D287" t="s">
        <v>30</v>
      </c>
      <c r="E287" t="s">
        <v>24</v>
      </c>
      <c r="F287" s="2">
        <v>1034000</v>
      </c>
      <c r="G287" s="3">
        <v>7.25</v>
      </c>
      <c r="H287" s="12">
        <v>45925</v>
      </c>
      <c r="I287" t="s">
        <v>17</v>
      </c>
      <c r="J287" t="s">
        <v>25</v>
      </c>
      <c r="K287" t="s">
        <v>56</v>
      </c>
      <c r="L287" s="2">
        <v>132800</v>
      </c>
      <c r="P287">
        <f>COUNTIF(I1:I351,"Overdue")</f>
        <v>107</v>
      </c>
    </row>
    <row r="288" spans="1:16">
      <c r="A288" t="s">
        <v>631</v>
      </c>
      <c r="B288" t="s">
        <v>632</v>
      </c>
      <c r="C288" t="s">
        <v>59</v>
      </c>
      <c r="D288" t="s">
        <v>23</v>
      </c>
      <c r="E288" t="s">
        <v>31</v>
      </c>
      <c r="F288" s="2">
        <v>3651000</v>
      </c>
      <c r="G288" s="3">
        <v>8</v>
      </c>
      <c r="H288" s="12">
        <v>45938</v>
      </c>
      <c r="I288" t="s">
        <v>39</v>
      </c>
      <c r="J288" t="s">
        <v>32</v>
      </c>
      <c r="K288" t="s">
        <v>61</v>
      </c>
      <c r="L288" s="2">
        <v>140100</v>
      </c>
    </row>
    <row r="289" spans="1:16">
      <c r="A289" t="s">
        <v>633</v>
      </c>
      <c r="B289" t="s">
        <v>634</v>
      </c>
      <c r="C289" t="s">
        <v>64</v>
      </c>
      <c r="D289" t="s">
        <v>30</v>
      </c>
      <c r="E289" t="s">
        <v>38</v>
      </c>
      <c r="F289" s="2">
        <v>2708000</v>
      </c>
      <c r="G289" s="3">
        <v>9.75</v>
      </c>
      <c r="H289" s="12">
        <v>45951</v>
      </c>
      <c r="I289" t="s">
        <v>17</v>
      </c>
      <c r="J289" t="s">
        <v>25</v>
      </c>
      <c r="K289" t="s">
        <v>33</v>
      </c>
      <c r="L289" s="2">
        <v>147400</v>
      </c>
    </row>
    <row r="290" spans="1:16">
      <c r="A290" t="s">
        <v>635</v>
      </c>
      <c r="B290" t="s">
        <v>636</v>
      </c>
      <c r="C290" t="s">
        <v>104</v>
      </c>
      <c r="D290" t="s">
        <v>37</v>
      </c>
      <c r="E290" t="s">
        <v>52</v>
      </c>
      <c r="F290" s="2">
        <v>793000</v>
      </c>
      <c r="G290" s="3">
        <v>13</v>
      </c>
      <c r="H290" s="12">
        <v>45964</v>
      </c>
      <c r="I290" t="s">
        <v>39</v>
      </c>
      <c r="J290" t="s">
        <v>32</v>
      </c>
      <c r="K290" t="s">
        <v>19</v>
      </c>
      <c r="L290" s="2">
        <v>154700</v>
      </c>
      <c r="P290" s="13">
        <f>COUNTIFS(D2:D351,"Colombo",I2:I351,"Overdue")</f>
        <v>17</v>
      </c>
    </row>
    <row r="291" spans="1:16">
      <c r="A291" t="s">
        <v>637</v>
      </c>
      <c r="B291" t="s">
        <v>638</v>
      </c>
      <c r="C291" t="s">
        <v>107</v>
      </c>
      <c r="D291" t="s">
        <v>43</v>
      </c>
      <c r="E291" t="s">
        <v>38</v>
      </c>
      <c r="F291" s="2">
        <v>2890000</v>
      </c>
      <c r="G291" s="3">
        <v>9</v>
      </c>
      <c r="H291" s="12">
        <v>45977</v>
      </c>
      <c r="I291" t="s">
        <v>39</v>
      </c>
      <c r="J291" t="s">
        <v>18</v>
      </c>
      <c r="K291" t="s">
        <v>26</v>
      </c>
      <c r="L291" s="2">
        <v>162000</v>
      </c>
    </row>
    <row r="292" spans="1:16">
      <c r="A292" t="s">
        <v>639</v>
      </c>
      <c r="B292" t="s">
        <v>640</v>
      </c>
      <c r="C292" t="s">
        <v>110</v>
      </c>
      <c r="D292" t="s">
        <v>48</v>
      </c>
      <c r="E292" t="s">
        <v>52</v>
      </c>
      <c r="F292" s="2">
        <v>867000</v>
      </c>
      <c r="G292" s="3">
        <v>12.25</v>
      </c>
      <c r="H292" s="12">
        <v>45990</v>
      </c>
      <c r="I292" t="s">
        <v>39</v>
      </c>
      <c r="J292" t="s">
        <v>25</v>
      </c>
      <c r="K292" t="s">
        <v>33</v>
      </c>
      <c r="L292" s="2">
        <v>169300</v>
      </c>
      <c r="P292">
        <f>COUNTIFS(D1:D351,"Colombo",I1:I351,"Overdue")</f>
        <v>17</v>
      </c>
    </row>
    <row r="293" spans="1:16">
      <c r="A293" t="s">
        <v>641</v>
      </c>
      <c r="B293" t="s">
        <v>642</v>
      </c>
      <c r="C293" t="s">
        <v>113</v>
      </c>
      <c r="D293" t="s">
        <v>60</v>
      </c>
      <c r="E293" t="s">
        <v>16</v>
      </c>
      <c r="F293" s="2">
        <v>2024000</v>
      </c>
      <c r="G293" s="3">
        <v>10</v>
      </c>
      <c r="H293" s="12">
        <v>46003</v>
      </c>
      <c r="I293" t="s">
        <v>39</v>
      </c>
      <c r="J293" t="s">
        <v>32</v>
      </c>
      <c r="K293" t="s">
        <v>19</v>
      </c>
      <c r="L293" s="2">
        <v>176600</v>
      </c>
      <c r="P293">
        <f>SUMIFS(F1:F351,D1:D351,"Colombo", I1:I351,"Overdue")</f>
        <v>46267000</v>
      </c>
    </row>
    <row r="294" spans="1:16">
      <c r="A294" t="s">
        <v>643</v>
      </c>
      <c r="B294" t="s">
        <v>644</v>
      </c>
      <c r="C294" t="s">
        <v>116</v>
      </c>
      <c r="D294" t="s">
        <v>15</v>
      </c>
      <c r="E294" t="s">
        <v>24</v>
      </c>
      <c r="F294" s="2">
        <v>1167000</v>
      </c>
      <c r="G294" s="3">
        <v>7.75</v>
      </c>
      <c r="H294" s="12">
        <v>46016</v>
      </c>
      <c r="I294" t="s">
        <v>44</v>
      </c>
      <c r="J294" t="s">
        <v>18</v>
      </c>
      <c r="K294" t="s">
        <v>26</v>
      </c>
      <c r="L294" s="2">
        <v>183900</v>
      </c>
      <c r="P294">
        <f>AVERAGEIFS(F2:F351,D2:D351,"Colombo",I2:I351, "Active")</f>
        <v>2238071.4285714286</v>
      </c>
    </row>
    <row r="295" spans="1:16">
      <c r="A295" t="s">
        <v>645</v>
      </c>
      <c r="B295" t="s">
        <v>646</v>
      </c>
      <c r="C295" t="s">
        <v>67</v>
      </c>
      <c r="D295" t="s">
        <v>60</v>
      </c>
      <c r="E295" t="s">
        <v>31</v>
      </c>
      <c r="F295" s="2">
        <v>4862000</v>
      </c>
      <c r="G295" s="3">
        <v>8.5</v>
      </c>
      <c r="H295" s="12">
        <v>46029</v>
      </c>
      <c r="I295" t="s">
        <v>17</v>
      </c>
      <c r="J295" t="s">
        <v>25</v>
      </c>
      <c r="K295" t="s">
        <v>33</v>
      </c>
      <c r="L295" s="2">
        <v>191200</v>
      </c>
    </row>
    <row r="296" spans="1:16">
      <c r="A296" t="s">
        <v>647</v>
      </c>
      <c r="B296" t="s">
        <v>648</v>
      </c>
      <c r="C296" t="s">
        <v>70</v>
      </c>
      <c r="D296" t="s">
        <v>15</v>
      </c>
      <c r="E296" t="s">
        <v>24</v>
      </c>
      <c r="F296" s="2">
        <v>1205000</v>
      </c>
      <c r="G296" s="3">
        <v>7</v>
      </c>
      <c r="H296" s="12">
        <v>46042</v>
      </c>
      <c r="I296" t="s">
        <v>44</v>
      </c>
      <c r="J296" t="s">
        <v>32</v>
      </c>
      <c r="K296" t="s">
        <v>19</v>
      </c>
      <c r="L296" s="2">
        <v>198500</v>
      </c>
    </row>
    <row r="297" spans="1:16">
      <c r="A297" t="s">
        <v>649</v>
      </c>
      <c r="B297" t="s">
        <v>650</v>
      </c>
      <c r="C297" t="s">
        <v>73</v>
      </c>
      <c r="D297" t="s">
        <v>23</v>
      </c>
      <c r="E297" t="s">
        <v>31</v>
      </c>
      <c r="F297" s="2">
        <v>5208000</v>
      </c>
      <c r="G297" s="3">
        <v>7.75</v>
      </c>
      <c r="H297" s="12">
        <v>46055</v>
      </c>
      <c r="I297" t="s">
        <v>17</v>
      </c>
      <c r="J297" t="s">
        <v>18</v>
      </c>
      <c r="K297" t="s">
        <v>56</v>
      </c>
      <c r="L297" s="2">
        <v>205800</v>
      </c>
    </row>
    <row r="298" spans="1:16">
      <c r="A298" t="s">
        <v>651</v>
      </c>
      <c r="B298" t="s">
        <v>652</v>
      </c>
      <c r="C298" t="s">
        <v>91</v>
      </c>
      <c r="D298" t="s">
        <v>30</v>
      </c>
      <c r="E298" t="s">
        <v>38</v>
      </c>
      <c r="F298" s="2">
        <v>3527000</v>
      </c>
      <c r="G298" s="3">
        <v>9.5</v>
      </c>
      <c r="H298" s="12">
        <v>46068</v>
      </c>
      <c r="I298" t="s">
        <v>39</v>
      </c>
      <c r="J298" t="s">
        <v>32</v>
      </c>
      <c r="K298" t="s">
        <v>61</v>
      </c>
      <c r="L298" s="2">
        <v>213100</v>
      </c>
      <c r="P298">
        <f ca="1">VLOOKUP(P298,A1:L351,3,FALSE)</f>
        <v>0</v>
      </c>
    </row>
    <row r="299" spans="1:16">
      <c r="A299" t="s">
        <v>653</v>
      </c>
      <c r="B299" t="s">
        <v>654</v>
      </c>
      <c r="C299" t="s">
        <v>14</v>
      </c>
      <c r="D299" t="s">
        <v>37</v>
      </c>
      <c r="E299" t="s">
        <v>52</v>
      </c>
      <c r="F299" s="2">
        <v>1126000</v>
      </c>
      <c r="G299" s="3">
        <v>12.75</v>
      </c>
      <c r="H299" s="12">
        <v>46081</v>
      </c>
      <c r="I299" t="s">
        <v>44</v>
      </c>
      <c r="J299" t="s">
        <v>18</v>
      </c>
      <c r="K299" t="s">
        <v>55</v>
      </c>
      <c r="L299" s="2">
        <v>220400</v>
      </c>
    </row>
    <row r="300" spans="1:16">
      <c r="A300" t="s">
        <v>655</v>
      </c>
      <c r="B300" t="s">
        <v>656</v>
      </c>
      <c r="C300" t="s">
        <v>22</v>
      </c>
      <c r="D300" t="s">
        <v>43</v>
      </c>
      <c r="E300" t="s">
        <v>16</v>
      </c>
      <c r="F300" s="2">
        <v>2353000</v>
      </c>
      <c r="G300" s="3">
        <v>10.5</v>
      </c>
      <c r="H300" s="12">
        <v>46094</v>
      </c>
      <c r="I300" t="s">
        <v>39</v>
      </c>
      <c r="J300" t="s">
        <v>25</v>
      </c>
      <c r="K300" t="s">
        <v>56</v>
      </c>
      <c r="L300" s="2">
        <v>227700</v>
      </c>
    </row>
    <row r="301" spans="1:16">
      <c r="A301" t="s">
        <v>657</v>
      </c>
      <c r="B301" t="s">
        <v>658</v>
      </c>
      <c r="C301" t="s">
        <v>29</v>
      </c>
      <c r="D301" t="s">
        <v>48</v>
      </c>
      <c r="E301" t="s">
        <v>52</v>
      </c>
      <c r="F301" s="2">
        <v>1200000</v>
      </c>
      <c r="G301" s="3">
        <v>12</v>
      </c>
      <c r="H301" s="12">
        <v>46107</v>
      </c>
      <c r="I301" t="s">
        <v>44</v>
      </c>
      <c r="J301" t="s">
        <v>32</v>
      </c>
      <c r="K301" t="s">
        <v>61</v>
      </c>
      <c r="L301" s="2">
        <v>235000</v>
      </c>
    </row>
    <row r="302" spans="1:16">
      <c r="A302" t="s">
        <v>659</v>
      </c>
      <c r="B302" t="s">
        <v>660</v>
      </c>
      <c r="C302" t="s">
        <v>36</v>
      </c>
      <c r="D302" t="s">
        <v>43</v>
      </c>
      <c r="E302" t="s">
        <v>16</v>
      </c>
      <c r="F302" s="2">
        <v>2447000</v>
      </c>
      <c r="G302" s="3">
        <v>9.75</v>
      </c>
      <c r="H302" s="12">
        <v>46120</v>
      </c>
      <c r="I302" t="s">
        <v>17</v>
      </c>
      <c r="J302" t="s">
        <v>18</v>
      </c>
      <c r="K302" t="s">
        <v>55</v>
      </c>
      <c r="L302" s="2">
        <v>242300</v>
      </c>
    </row>
    <row r="303" spans="1:16">
      <c r="A303" t="s">
        <v>661</v>
      </c>
      <c r="B303" t="s">
        <v>662</v>
      </c>
      <c r="C303" t="s">
        <v>42</v>
      </c>
      <c r="D303" t="s">
        <v>48</v>
      </c>
      <c r="E303" t="s">
        <v>24</v>
      </c>
      <c r="F303" s="2">
        <v>1338000</v>
      </c>
      <c r="G303" s="3">
        <v>7.5</v>
      </c>
      <c r="H303" s="12">
        <v>46133</v>
      </c>
      <c r="I303" t="s">
        <v>17</v>
      </c>
      <c r="J303" t="s">
        <v>25</v>
      </c>
      <c r="K303" t="s">
        <v>56</v>
      </c>
      <c r="L303" s="2">
        <v>249600</v>
      </c>
      <c r="P303" t="str">
        <f>VLOOKUP("LN0003", Loan_Data!A:L, 3, FALSE)</f>
        <v>Kasun</v>
      </c>
    </row>
    <row r="304" spans="1:16">
      <c r="A304" t="s">
        <v>663</v>
      </c>
      <c r="B304" t="s">
        <v>664</v>
      </c>
      <c r="C304" t="s">
        <v>47</v>
      </c>
      <c r="D304" t="s">
        <v>60</v>
      </c>
      <c r="E304" t="s">
        <v>31</v>
      </c>
      <c r="F304" s="2">
        <v>6419000</v>
      </c>
      <c r="G304" s="3">
        <v>8.25</v>
      </c>
      <c r="H304" s="12">
        <v>46146</v>
      </c>
      <c r="I304" t="s">
        <v>17</v>
      </c>
      <c r="J304" t="s">
        <v>32</v>
      </c>
      <c r="K304" t="s">
        <v>61</v>
      </c>
      <c r="L304" s="2">
        <v>256900</v>
      </c>
    </row>
    <row r="305" spans="1:12">
      <c r="A305" t="s">
        <v>665</v>
      </c>
      <c r="B305" t="s">
        <v>666</v>
      </c>
      <c r="C305" t="s">
        <v>51</v>
      </c>
      <c r="D305" t="s">
        <v>15</v>
      </c>
      <c r="E305" t="s">
        <v>38</v>
      </c>
      <c r="F305" s="2">
        <v>4164000</v>
      </c>
      <c r="G305" s="3">
        <v>10</v>
      </c>
      <c r="H305" s="12">
        <v>46159</v>
      </c>
      <c r="I305" t="s">
        <v>39</v>
      </c>
      <c r="J305" t="s">
        <v>18</v>
      </c>
      <c r="K305" t="s">
        <v>33</v>
      </c>
      <c r="L305" s="2">
        <v>264200</v>
      </c>
    </row>
    <row r="306" spans="1:12">
      <c r="A306" t="s">
        <v>667</v>
      </c>
      <c r="B306" t="s">
        <v>668</v>
      </c>
      <c r="C306" t="s">
        <v>55</v>
      </c>
      <c r="D306" t="s">
        <v>23</v>
      </c>
      <c r="E306" t="s">
        <v>31</v>
      </c>
      <c r="F306" s="2">
        <v>6765000</v>
      </c>
      <c r="G306" s="3">
        <v>7.5</v>
      </c>
      <c r="H306" s="12">
        <v>46172</v>
      </c>
      <c r="I306" t="s">
        <v>44</v>
      </c>
      <c r="J306" t="s">
        <v>25</v>
      </c>
      <c r="K306" t="s">
        <v>19</v>
      </c>
      <c r="L306" s="2">
        <v>271500</v>
      </c>
    </row>
    <row r="307" spans="1:12">
      <c r="A307" t="s">
        <v>669</v>
      </c>
      <c r="B307" t="s">
        <v>670</v>
      </c>
      <c r="C307" t="s">
        <v>59</v>
      </c>
      <c r="D307" t="s">
        <v>30</v>
      </c>
      <c r="E307" t="s">
        <v>38</v>
      </c>
      <c r="F307" s="2">
        <v>4346000</v>
      </c>
      <c r="G307" s="3">
        <v>9.25</v>
      </c>
      <c r="H307" s="12">
        <v>46185</v>
      </c>
      <c r="I307" t="s">
        <v>17</v>
      </c>
      <c r="J307" t="s">
        <v>18</v>
      </c>
      <c r="K307" t="s">
        <v>26</v>
      </c>
      <c r="L307" s="2">
        <v>278800</v>
      </c>
    </row>
    <row r="308" spans="1:12">
      <c r="A308" t="s">
        <v>671</v>
      </c>
      <c r="B308" t="s">
        <v>672</v>
      </c>
      <c r="C308" t="s">
        <v>64</v>
      </c>
      <c r="D308" t="s">
        <v>37</v>
      </c>
      <c r="E308" t="s">
        <v>52</v>
      </c>
      <c r="F308" s="2">
        <v>1459000</v>
      </c>
      <c r="G308" s="3">
        <v>12.5</v>
      </c>
      <c r="H308" s="12">
        <v>46198</v>
      </c>
      <c r="I308" t="s">
        <v>39</v>
      </c>
      <c r="J308" t="s">
        <v>25</v>
      </c>
      <c r="K308" t="s">
        <v>33</v>
      </c>
      <c r="L308" s="2">
        <v>286100</v>
      </c>
    </row>
    <row r="309" spans="1:12">
      <c r="A309" t="s">
        <v>673</v>
      </c>
      <c r="B309" t="s">
        <v>674</v>
      </c>
      <c r="C309" t="s">
        <v>67</v>
      </c>
      <c r="D309" t="s">
        <v>30</v>
      </c>
      <c r="E309" t="s">
        <v>16</v>
      </c>
      <c r="F309" s="2">
        <v>2776000</v>
      </c>
      <c r="G309" s="3">
        <v>10.25</v>
      </c>
      <c r="H309" s="12">
        <v>46211</v>
      </c>
      <c r="I309" t="s">
        <v>17</v>
      </c>
      <c r="J309" t="s">
        <v>32</v>
      </c>
      <c r="K309" t="s">
        <v>19</v>
      </c>
      <c r="L309" s="2">
        <v>293400</v>
      </c>
    </row>
    <row r="310" spans="1:12">
      <c r="A310" t="s">
        <v>675</v>
      </c>
      <c r="B310" t="s">
        <v>676</v>
      </c>
      <c r="C310" t="s">
        <v>70</v>
      </c>
      <c r="D310" t="s">
        <v>37</v>
      </c>
      <c r="E310" t="s">
        <v>24</v>
      </c>
      <c r="F310" s="2">
        <v>1471000</v>
      </c>
      <c r="G310" s="3">
        <v>8</v>
      </c>
      <c r="H310" s="12">
        <v>46224</v>
      </c>
      <c r="I310" t="s">
        <v>39</v>
      </c>
      <c r="J310" t="s">
        <v>18</v>
      </c>
      <c r="K310" t="s">
        <v>26</v>
      </c>
      <c r="L310" s="2">
        <v>300700</v>
      </c>
    </row>
    <row r="311" spans="1:12">
      <c r="A311" t="s">
        <v>677</v>
      </c>
      <c r="B311" t="s">
        <v>678</v>
      </c>
      <c r="C311" t="s">
        <v>73</v>
      </c>
      <c r="D311" t="s">
        <v>43</v>
      </c>
      <c r="E311" t="s">
        <v>16</v>
      </c>
      <c r="F311" s="2">
        <v>2870000</v>
      </c>
      <c r="G311" s="3">
        <v>9.5</v>
      </c>
      <c r="H311" s="12">
        <v>46237</v>
      </c>
      <c r="I311" t="s">
        <v>17</v>
      </c>
      <c r="J311" t="s">
        <v>25</v>
      </c>
      <c r="K311" t="s">
        <v>33</v>
      </c>
      <c r="L311" s="2">
        <v>308000</v>
      </c>
    </row>
    <row r="312" spans="1:12">
      <c r="A312" t="s">
        <v>679</v>
      </c>
      <c r="B312" t="s">
        <v>680</v>
      </c>
      <c r="C312" t="s">
        <v>76</v>
      </c>
      <c r="D312" t="s">
        <v>48</v>
      </c>
      <c r="E312" t="s">
        <v>24</v>
      </c>
      <c r="F312" s="2">
        <v>1509000</v>
      </c>
      <c r="G312" s="3">
        <v>7.25</v>
      </c>
      <c r="H312" s="12">
        <v>46250</v>
      </c>
      <c r="I312" t="s">
        <v>44</v>
      </c>
      <c r="J312" t="s">
        <v>32</v>
      </c>
      <c r="K312" t="s">
        <v>19</v>
      </c>
      <c r="L312" s="2">
        <v>315300</v>
      </c>
    </row>
    <row r="313" spans="1:12">
      <c r="A313" t="s">
        <v>681</v>
      </c>
      <c r="B313" t="s">
        <v>682</v>
      </c>
      <c r="C313" t="s">
        <v>79</v>
      </c>
      <c r="D313" t="s">
        <v>60</v>
      </c>
      <c r="E313" t="s">
        <v>31</v>
      </c>
      <c r="F313" s="2">
        <v>7976000</v>
      </c>
      <c r="G313" s="3">
        <v>8</v>
      </c>
      <c r="H313" s="12">
        <v>46263</v>
      </c>
      <c r="I313" t="s">
        <v>44</v>
      </c>
      <c r="J313" t="s">
        <v>18</v>
      </c>
      <c r="K313" t="s">
        <v>56</v>
      </c>
      <c r="L313" s="2">
        <v>322600</v>
      </c>
    </row>
    <row r="314" spans="1:12">
      <c r="A314" t="s">
        <v>683</v>
      </c>
      <c r="B314" t="s">
        <v>684</v>
      </c>
      <c r="C314" t="s">
        <v>82</v>
      </c>
      <c r="D314" t="s">
        <v>15</v>
      </c>
      <c r="E314" t="s">
        <v>38</v>
      </c>
      <c r="F314" s="2">
        <v>4983000</v>
      </c>
      <c r="G314" s="3">
        <v>9.75</v>
      </c>
      <c r="H314" s="12">
        <v>46276</v>
      </c>
      <c r="I314" t="s">
        <v>44</v>
      </c>
      <c r="J314" t="s">
        <v>25</v>
      </c>
      <c r="K314" t="s">
        <v>61</v>
      </c>
      <c r="L314" s="2">
        <v>329900</v>
      </c>
    </row>
    <row r="315" spans="1:12">
      <c r="A315" t="s">
        <v>685</v>
      </c>
      <c r="B315" t="s">
        <v>686</v>
      </c>
      <c r="C315" t="s">
        <v>85</v>
      </c>
      <c r="D315" t="s">
        <v>23</v>
      </c>
      <c r="E315" t="s">
        <v>52</v>
      </c>
      <c r="F315" s="2">
        <v>1718000</v>
      </c>
      <c r="G315" s="3">
        <v>13</v>
      </c>
      <c r="H315" s="12">
        <v>44929</v>
      </c>
      <c r="I315" t="s">
        <v>39</v>
      </c>
      <c r="J315" t="s">
        <v>32</v>
      </c>
      <c r="K315" t="s">
        <v>55</v>
      </c>
      <c r="L315" s="2">
        <v>337200</v>
      </c>
    </row>
    <row r="316" spans="1:12">
      <c r="A316" t="s">
        <v>687</v>
      </c>
      <c r="B316" t="s">
        <v>688</v>
      </c>
      <c r="C316" t="s">
        <v>88</v>
      </c>
      <c r="D316" t="s">
        <v>15</v>
      </c>
      <c r="E316" t="s">
        <v>38</v>
      </c>
      <c r="F316" s="2">
        <v>5165000</v>
      </c>
      <c r="G316" s="3">
        <v>9</v>
      </c>
      <c r="H316" s="12">
        <v>44942</v>
      </c>
      <c r="I316" t="s">
        <v>39</v>
      </c>
      <c r="J316" t="s">
        <v>25</v>
      </c>
      <c r="K316" t="s">
        <v>56</v>
      </c>
      <c r="L316" s="2">
        <v>344500</v>
      </c>
    </row>
    <row r="317" spans="1:12">
      <c r="A317" t="s">
        <v>689</v>
      </c>
      <c r="B317" t="s">
        <v>690</v>
      </c>
      <c r="C317" t="s">
        <v>91</v>
      </c>
      <c r="D317" t="s">
        <v>23</v>
      </c>
      <c r="E317" t="s">
        <v>52</v>
      </c>
      <c r="F317" s="2">
        <v>1792000</v>
      </c>
      <c r="G317" s="3">
        <v>12.25</v>
      </c>
      <c r="H317" s="12">
        <v>44955</v>
      </c>
      <c r="I317" t="s">
        <v>44</v>
      </c>
      <c r="J317" t="s">
        <v>32</v>
      </c>
      <c r="K317" t="s">
        <v>61</v>
      </c>
      <c r="L317" s="2">
        <v>351800</v>
      </c>
    </row>
    <row r="318" spans="1:12">
      <c r="A318" t="s">
        <v>691</v>
      </c>
      <c r="B318" t="s">
        <v>692</v>
      </c>
      <c r="C318" t="s">
        <v>14</v>
      </c>
      <c r="D318" t="s">
        <v>30</v>
      </c>
      <c r="E318" t="s">
        <v>16</v>
      </c>
      <c r="F318" s="2">
        <v>3199000</v>
      </c>
      <c r="G318" s="3">
        <v>10</v>
      </c>
      <c r="H318" s="12">
        <v>44968</v>
      </c>
      <c r="I318" t="s">
        <v>44</v>
      </c>
      <c r="J318" t="s">
        <v>18</v>
      </c>
      <c r="K318" t="s">
        <v>55</v>
      </c>
      <c r="L318" s="2">
        <v>359100</v>
      </c>
    </row>
    <row r="319" spans="1:12">
      <c r="A319" t="s">
        <v>693</v>
      </c>
      <c r="B319" t="s">
        <v>694</v>
      </c>
      <c r="C319" t="s">
        <v>22</v>
      </c>
      <c r="D319" t="s">
        <v>37</v>
      </c>
      <c r="E319" t="s">
        <v>24</v>
      </c>
      <c r="F319" s="2">
        <v>142000</v>
      </c>
      <c r="G319" s="3">
        <v>7.75</v>
      </c>
      <c r="H319" s="12">
        <v>44981</v>
      </c>
      <c r="I319" t="s">
        <v>17</v>
      </c>
      <c r="J319" t="s">
        <v>25</v>
      </c>
      <c r="K319" t="s">
        <v>56</v>
      </c>
      <c r="L319" s="2">
        <v>366400</v>
      </c>
    </row>
    <row r="320" spans="1:12">
      <c r="A320" t="s">
        <v>695</v>
      </c>
      <c r="B320" t="s">
        <v>696</v>
      </c>
      <c r="C320" t="s">
        <v>55</v>
      </c>
      <c r="D320" t="s">
        <v>43</v>
      </c>
      <c r="E320" t="s">
        <v>31</v>
      </c>
      <c r="F320" s="2">
        <v>9187000</v>
      </c>
      <c r="G320" s="3">
        <v>8.5</v>
      </c>
      <c r="H320" s="12">
        <v>44994</v>
      </c>
      <c r="I320" t="s">
        <v>39</v>
      </c>
      <c r="J320" t="s">
        <v>32</v>
      </c>
      <c r="K320" t="s">
        <v>61</v>
      </c>
      <c r="L320" s="2">
        <v>373700</v>
      </c>
    </row>
    <row r="321" spans="1:12">
      <c r="A321" t="s">
        <v>697</v>
      </c>
      <c r="B321" t="s">
        <v>698</v>
      </c>
      <c r="C321" t="s">
        <v>59</v>
      </c>
      <c r="D321" t="s">
        <v>48</v>
      </c>
      <c r="E321" t="s">
        <v>24</v>
      </c>
      <c r="F321" s="2">
        <v>180000</v>
      </c>
      <c r="G321" s="3">
        <v>7</v>
      </c>
      <c r="H321" s="12">
        <v>45007</v>
      </c>
      <c r="I321" t="s">
        <v>39</v>
      </c>
      <c r="J321" t="s">
        <v>18</v>
      </c>
      <c r="K321" t="s">
        <v>33</v>
      </c>
      <c r="L321" s="2">
        <v>381000</v>
      </c>
    </row>
    <row r="322" spans="1:12">
      <c r="A322" t="s">
        <v>699</v>
      </c>
      <c r="B322" t="s">
        <v>700</v>
      </c>
      <c r="C322" t="s">
        <v>64</v>
      </c>
      <c r="D322" t="s">
        <v>60</v>
      </c>
      <c r="E322" t="s">
        <v>31</v>
      </c>
      <c r="F322" s="2">
        <v>9533000</v>
      </c>
      <c r="G322" s="3">
        <v>7.75</v>
      </c>
      <c r="H322" s="12">
        <v>45020</v>
      </c>
      <c r="I322" t="s">
        <v>44</v>
      </c>
      <c r="J322" t="s">
        <v>25</v>
      </c>
      <c r="K322" t="s">
        <v>19</v>
      </c>
      <c r="L322" s="2">
        <v>388300</v>
      </c>
    </row>
    <row r="323" spans="1:12">
      <c r="A323" t="s">
        <v>701</v>
      </c>
      <c r="B323" t="s">
        <v>702</v>
      </c>
      <c r="C323" t="s">
        <v>104</v>
      </c>
      <c r="D323" t="s">
        <v>48</v>
      </c>
      <c r="E323" t="s">
        <v>38</v>
      </c>
      <c r="F323" s="2">
        <v>5802000</v>
      </c>
      <c r="G323" s="3">
        <v>9.5</v>
      </c>
      <c r="H323" s="12">
        <v>45033</v>
      </c>
      <c r="I323" t="s">
        <v>39</v>
      </c>
      <c r="J323" t="s">
        <v>32</v>
      </c>
      <c r="K323" t="s">
        <v>26</v>
      </c>
      <c r="L323" s="2">
        <v>395600</v>
      </c>
    </row>
    <row r="324" spans="1:12">
      <c r="A324" t="s">
        <v>703</v>
      </c>
      <c r="B324" t="s">
        <v>704</v>
      </c>
      <c r="C324" t="s">
        <v>107</v>
      </c>
      <c r="D324" t="s">
        <v>60</v>
      </c>
      <c r="E324" t="s">
        <v>52</v>
      </c>
      <c r="F324" s="2">
        <v>2051000</v>
      </c>
      <c r="G324" s="3">
        <v>12.75</v>
      </c>
      <c r="H324" s="12">
        <v>45046</v>
      </c>
      <c r="I324" t="s">
        <v>44</v>
      </c>
      <c r="J324" t="s">
        <v>18</v>
      </c>
      <c r="K324" t="s">
        <v>33</v>
      </c>
      <c r="L324" s="2">
        <v>402900</v>
      </c>
    </row>
    <row r="325" spans="1:12">
      <c r="A325" t="s">
        <v>705</v>
      </c>
      <c r="B325" t="s">
        <v>706</v>
      </c>
      <c r="C325" t="s">
        <v>110</v>
      </c>
      <c r="D325" t="s">
        <v>15</v>
      </c>
      <c r="E325" t="s">
        <v>16</v>
      </c>
      <c r="F325" s="2">
        <v>528000</v>
      </c>
      <c r="G325" s="3">
        <v>10.5</v>
      </c>
      <c r="H325" s="12">
        <v>45059</v>
      </c>
      <c r="I325" t="s">
        <v>39</v>
      </c>
      <c r="J325" t="s">
        <v>32</v>
      </c>
      <c r="K325" t="s">
        <v>19</v>
      </c>
      <c r="L325" s="2">
        <v>410200</v>
      </c>
    </row>
    <row r="326" spans="1:12">
      <c r="A326" t="s">
        <v>707</v>
      </c>
      <c r="B326" t="s">
        <v>708</v>
      </c>
      <c r="C326" t="s">
        <v>113</v>
      </c>
      <c r="D326" t="s">
        <v>23</v>
      </c>
      <c r="E326" t="s">
        <v>52</v>
      </c>
      <c r="F326" s="2">
        <v>2125000</v>
      </c>
      <c r="G326" s="3">
        <v>12</v>
      </c>
      <c r="H326" s="12">
        <v>45072</v>
      </c>
      <c r="I326" t="s">
        <v>39</v>
      </c>
      <c r="J326" t="s">
        <v>18</v>
      </c>
      <c r="K326" t="s">
        <v>26</v>
      </c>
      <c r="L326" s="2">
        <v>417500</v>
      </c>
    </row>
    <row r="327" spans="1:12">
      <c r="A327" t="s">
        <v>709</v>
      </c>
      <c r="B327" t="s">
        <v>710</v>
      </c>
      <c r="C327" t="s">
        <v>116</v>
      </c>
      <c r="D327" t="s">
        <v>30</v>
      </c>
      <c r="E327" t="s">
        <v>16</v>
      </c>
      <c r="F327" s="2">
        <v>622000</v>
      </c>
      <c r="G327" s="3">
        <v>9.75</v>
      </c>
      <c r="H327" s="12">
        <v>45085</v>
      </c>
      <c r="I327" t="s">
        <v>17</v>
      </c>
      <c r="J327" t="s">
        <v>25</v>
      </c>
      <c r="K327" t="s">
        <v>33</v>
      </c>
      <c r="L327" s="2">
        <v>424800</v>
      </c>
    </row>
    <row r="328" spans="1:12">
      <c r="A328" t="s">
        <v>711</v>
      </c>
      <c r="B328" t="s">
        <v>712</v>
      </c>
      <c r="C328" t="s">
        <v>67</v>
      </c>
      <c r="D328" t="s">
        <v>37</v>
      </c>
      <c r="E328" t="s">
        <v>24</v>
      </c>
      <c r="F328" s="2">
        <v>313000</v>
      </c>
      <c r="G328" s="3">
        <v>7.5</v>
      </c>
      <c r="H328" s="12">
        <v>45098</v>
      </c>
      <c r="I328" t="s">
        <v>39</v>
      </c>
      <c r="J328" t="s">
        <v>32</v>
      </c>
      <c r="K328" t="s">
        <v>19</v>
      </c>
      <c r="L328" s="2">
        <v>432100</v>
      </c>
    </row>
    <row r="329" spans="1:12">
      <c r="A329" t="s">
        <v>713</v>
      </c>
      <c r="B329" t="s">
        <v>714</v>
      </c>
      <c r="C329" t="s">
        <v>70</v>
      </c>
      <c r="D329" t="s">
        <v>43</v>
      </c>
      <c r="E329" t="s">
        <v>31</v>
      </c>
      <c r="F329" s="2">
        <v>2744000</v>
      </c>
      <c r="G329" s="3">
        <v>8.25</v>
      </c>
      <c r="H329" s="12">
        <v>45111</v>
      </c>
      <c r="I329" t="s">
        <v>44</v>
      </c>
      <c r="J329" t="s">
        <v>18</v>
      </c>
      <c r="K329" t="s">
        <v>56</v>
      </c>
      <c r="L329" s="2">
        <v>439400</v>
      </c>
    </row>
    <row r="330" spans="1:12">
      <c r="A330" t="s">
        <v>715</v>
      </c>
      <c r="B330" t="s">
        <v>716</v>
      </c>
      <c r="C330" t="s">
        <v>73</v>
      </c>
      <c r="D330" t="s">
        <v>37</v>
      </c>
      <c r="E330" t="s">
        <v>38</v>
      </c>
      <c r="F330" s="2">
        <v>6439000</v>
      </c>
      <c r="G330" s="3">
        <v>10</v>
      </c>
      <c r="H330" s="12">
        <v>45124</v>
      </c>
      <c r="I330" t="s">
        <v>44</v>
      </c>
      <c r="J330" t="s">
        <v>25</v>
      </c>
      <c r="K330" t="s">
        <v>61</v>
      </c>
      <c r="L330" s="2">
        <v>46700</v>
      </c>
    </row>
    <row r="331" spans="1:12">
      <c r="A331" t="s">
        <v>717</v>
      </c>
      <c r="B331" t="s">
        <v>718</v>
      </c>
      <c r="C331" t="s">
        <v>91</v>
      </c>
      <c r="D331" t="s">
        <v>43</v>
      </c>
      <c r="E331" t="s">
        <v>31</v>
      </c>
      <c r="F331" s="2">
        <v>3090000</v>
      </c>
      <c r="G331" s="3">
        <v>7.5</v>
      </c>
      <c r="H331" s="12">
        <v>45137</v>
      </c>
      <c r="I331" t="s">
        <v>44</v>
      </c>
      <c r="J331" t="s">
        <v>32</v>
      </c>
      <c r="K331" t="s">
        <v>55</v>
      </c>
      <c r="L331" s="2">
        <v>54000</v>
      </c>
    </row>
    <row r="332" spans="1:12">
      <c r="A332" t="s">
        <v>719</v>
      </c>
      <c r="B332" t="s">
        <v>720</v>
      </c>
      <c r="C332" t="s">
        <v>14</v>
      </c>
      <c r="D332" t="s">
        <v>48</v>
      </c>
      <c r="E332" t="s">
        <v>38</v>
      </c>
      <c r="F332" s="2">
        <v>621000</v>
      </c>
      <c r="G332" s="3">
        <v>9.25</v>
      </c>
      <c r="H332" s="12">
        <v>45150</v>
      </c>
      <c r="I332" t="s">
        <v>17</v>
      </c>
      <c r="J332" t="s">
        <v>18</v>
      </c>
      <c r="K332" t="s">
        <v>56</v>
      </c>
      <c r="L332" s="2">
        <v>61300</v>
      </c>
    </row>
    <row r="333" spans="1:12">
      <c r="A333" t="s">
        <v>721</v>
      </c>
      <c r="B333" t="s">
        <v>722</v>
      </c>
      <c r="C333" t="s">
        <v>22</v>
      </c>
      <c r="D333" t="s">
        <v>60</v>
      </c>
      <c r="E333" t="s">
        <v>52</v>
      </c>
      <c r="F333" s="2">
        <v>2384000</v>
      </c>
      <c r="G333" s="3">
        <v>12.5</v>
      </c>
      <c r="H333" s="12">
        <v>45163</v>
      </c>
      <c r="I333" t="s">
        <v>17</v>
      </c>
      <c r="J333" t="s">
        <v>25</v>
      </c>
      <c r="K333" t="s">
        <v>61</v>
      </c>
      <c r="L333" s="2">
        <v>68600</v>
      </c>
    </row>
    <row r="334" spans="1:12">
      <c r="A334" t="s">
        <v>723</v>
      </c>
      <c r="B334" t="s">
        <v>724</v>
      </c>
      <c r="C334" t="s">
        <v>29</v>
      </c>
      <c r="D334" t="s">
        <v>15</v>
      </c>
      <c r="E334" t="s">
        <v>16</v>
      </c>
      <c r="F334" s="2">
        <v>951000</v>
      </c>
      <c r="G334" s="3">
        <v>10.25</v>
      </c>
      <c r="H334" s="12">
        <v>45176</v>
      </c>
      <c r="I334" t="s">
        <v>44</v>
      </c>
      <c r="J334" t="s">
        <v>18</v>
      </c>
      <c r="K334" t="s">
        <v>55</v>
      </c>
      <c r="L334" s="2">
        <v>75900</v>
      </c>
    </row>
    <row r="335" spans="1:12">
      <c r="A335" t="s">
        <v>725</v>
      </c>
      <c r="B335" t="s">
        <v>726</v>
      </c>
      <c r="C335" t="s">
        <v>36</v>
      </c>
      <c r="D335" t="s">
        <v>23</v>
      </c>
      <c r="E335" t="s">
        <v>24</v>
      </c>
      <c r="F335" s="2">
        <v>446000</v>
      </c>
      <c r="G335" s="3">
        <v>8</v>
      </c>
      <c r="H335" s="12">
        <v>45189</v>
      </c>
      <c r="I335" t="s">
        <v>17</v>
      </c>
      <c r="J335" t="s">
        <v>25</v>
      </c>
      <c r="K335" t="s">
        <v>56</v>
      </c>
      <c r="L335" s="2">
        <v>83200</v>
      </c>
    </row>
    <row r="336" spans="1:12">
      <c r="A336" t="s">
        <v>727</v>
      </c>
      <c r="B336" t="s">
        <v>728</v>
      </c>
      <c r="C336" t="s">
        <v>42</v>
      </c>
      <c r="D336" t="s">
        <v>30</v>
      </c>
      <c r="E336" t="s">
        <v>16</v>
      </c>
      <c r="F336" s="2">
        <v>1045000</v>
      </c>
      <c r="G336" s="3">
        <v>9.5</v>
      </c>
      <c r="H336" s="12">
        <v>45202</v>
      </c>
      <c r="I336" t="s">
        <v>44</v>
      </c>
      <c r="J336" t="s">
        <v>32</v>
      </c>
      <c r="K336" t="s">
        <v>61</v>
      </c>
      <c r="L336" s="2">
        <v>90500</v>
      </c>
    </row>
    <row r="337" spans="1:12">
      <c r="A337" t="s">
        <v>729</v>
      </c>
      <c r="B337" t="s">
        <v>730</v>
      </c>
      <c r="C337" t="s">
        <v>47</v>
      </c>
      <c r="D337" t="s">
        <v>23</v>
      </c>
      <c r="E337" t="s">
        <v>24</v>
      </c>
      <c r="F337" s="2">
        <v>484000</v>
      </c>
      <c r="G337" s="3">
        <v>7.25</v>
      </c>
      <c r="H337" s="12">
        <v>45215</v>
      </c>
      <c r="I337" t="s">
        <v>17</v>
      </c>
      <c r="J337" t="s">
        <v>18</v>
      </c>
      <c r="K337" t="s">
        <v>33</v>
      </c>
      <c r="L337" s="2">
        <v>97800</v>
      </c>
    </row>
    <row r="338" spans="1:12">
      <c r="A338" t="s">
        <v>731</v>
      </c>
      <c r="B338" t="s">
        <v>732</v>
      </c>
      <c r="C338" t="s">
        <v>51</v>
      </c>
      <c r="D338" t="s">
        <v>30</v>
      </c>
      <c r="E338" t="s">
        <v>31</v>
      </c>
      <c r="F338" s="2">
        <v>4301000</v>
      </c>
      <c r="G338" s="3">
        <v>8</v>
      </c>
      <c r="H338" s="12">
        <v>45228</v>
      </c>
      <c r="I338" t="s">
        <v>44</v>
      </c>
      <c r="J338" t="s">
        <v>25</v>
      </c>
      <c r="K338" t="s">
        <v>19</v>
      </c>
      <c r="L338" s="2">
        <v>105100</v>
      </c>
    </row>
    <row r="339" spans="1:12">
      <c r="A339" t="s">
        <v>733</v>
      </c>
      <c r="B339" t="s">
        <v>734</v>
      </c>
      <c r="C339" t="s">
        <v>55</v>
      </c>
      <c r="D339" t="s">
        <v>37</v>
      </c>
      <c r="E339" t="s">
        <v>38</v>
      </c>
      <c r="F339" s="2">
        <v>1258000</v>
      </c>
      <c r="G339" s="3">
        <v>9.75</v>
      </c>
      <c r="H339" s="12">
        <v>45241</v>
      </c>
      <c r="I339" t="s">
        <v>17</v>
      </c>
      <c r="J339" t="s">
        <v>32</v>
      </c>
      <c r="K339" t="s">
        <v>26</v>
      </c>
      <c r="L339" s="2">
        <v>112400</v>
      </c>
    </row>
    <row r="340" spans="1:12">
      <c r="A340" t="s">
        <v>735</v>
      </c>
      <c r="B340" t="s">
        <v>736</v>
      </c>
      <c r="C340" t="s">
        <v>59</v>
      </c>
      <c r="D340" t="s">
        <v>43</v>
      </c>
      <c r="E340" t="s">
        <v>52</v>
      </c>
      <c r="F340" s="2">
        <v>143000</v>
      </c>
      <c r="G340" s="3">
        <v>13</v>
      </c>
      <c r="H340" s="12">
        <v>45254</v>
      </c>
      <c r="I340" t="s">
        <v>39</v>
      </c>
      <c r="J340" t="s">
        <v>18</v>
      </c>
      <c r="K340" t="s">
        <v>33</v>
      </c>
      <c r="L340" s="2">
        <v>119700</v>
      </c>
    </row>
    <row r="341" spans="1:12">
      <c r="A341" t="s">
        <v>737</v>
      </c>
      <c r="B341" t="s">
        <v>738</v>
      </c>
      <c r="C341" t="s">
        <v>64</v>
      </c>
      <c r="D341" t="s">
        <v>48</v>
      </c>
      <c r="E341" t="s">
        <v>38</v>
      </c>
      <c r="F341" s="2">
        <v>1440000</v>
      </c>
      <c r="G341" s="3">
        <v>9</v>
      </c>
      <c r="H341" s="12">
        <v>45267</v>
      </c>
      <c r="I341" t="s">
        <v>17</v>
      </c>
      <c r="J341" t="s">
        <v>25</v>
      </c>
      <c r="K341" t="s">
        <v>19</v>
      </c>
      <c r="L341" s="2">
        <v>127000</v>
      </c>
    </row>
    <row r="342" spans="1:12">
      <c r="A342" t="s">
        <v>739</v>
      </c>
      <c r="B342" t="s">
        <v>740</v>
      </c>
      <c r="C342" t="s">
        <v>67</v>
      </c>
      <c r="D342" t="s">
        <v>60</v>
      </c>
      <c r="E342" t="s">
        <v>52</v>
      </c>
      <c r="F342" s="2">
        <v>217000</v>
      </c>
      <c r="G342" s="3">
        <v>12.25</v>
      </c>
      <c r="H342" s="12">
        <v>45280</v>
      </c>
      <c r="I342" t="s">
        <v>44</v>
      </c>
      <c r="J342" t="s">
        <v>32</v>
      </c>
      <c r="K342" t="s">
        <v>26</v>
      </c>
      <c r="L342" s="2">
        <v>134300</v>
      </c>
    </row>
    <row r="343" spans="1:12">
      <c r="A343" t="s">
        <v>741</v>
      </c>
      <c r="B343" t="s">
        <v>742</v>
      </c>
      <c r="C343" t="s">
        <v>70</v>
      </c>
      <c r="D343" t="s">
        <v>15</v>
      </c>
      <c r="E343" t="s">
        <v>16</v>
      </c>
      <c r="F343" s="2">
        <v>1374000</v>
      </c>
      <c r="G343" s="3">
        <v>10</v>
      </c>
      <c r="H343" s="12">
        <v>45293</v>
      </c>
      <c r="I343" t="s">
        <v>17</v>
      </c>
      <c r="J343" t="s">
        <v>25</v>
      </c>
      <c r="K343" t="s">
        <v>33</v>
      </c>
      <c r="L343" s="2">
        <v>141600</v>
      </c>
    </row>
    <row r="344" spans="1:12">
      <c r="A344" t="s">
        <v>743</v>
      </c>
      <c r="B344" t="s">
        <v>744</v>
      </c>
      <c r="C344" t="s">
        <v>73</v>
      </c>
      <c r="D344" t="s">
        <v>60</v>
      </c>
      <c r="E344" t="s">
        <v>24</v>
      </c>
      <c r="F344" s="2">
        <v>617000</v>
      </c>
      <c r="G344" s="3">
        <v>7.75</v>
      </c>
      <c r="H344" s="12">
        <v>45306</v>
      </c>
      <c r="I344" t="s">
        <v>17</v>
      </c>
      <c r="J344" t="s">
        <v>32</v>
      </c>
      <c r="K344" t="s">
        <v>19</v>
      </c>
      <c r="L344" s="2">
        <v>148900</v>
      </c>
    </row>
    <row r="345" spans="1:12">
      <c r="A345" t="s">
        <v>745</v>
      </c>
      <c r="B345" t="s">
        <v>746</v>
      </c>
      <c r="C345" t="s">
        <v>76</v>
      </c>
      <c r="D345" t="s">
        <v>15</v>
      </c>
      <c r="E345" t="s">
        <v>31</v>
      </c>
      <c r="F345" s="2">
        <v>5512000</v>
      </c>
      <c r="G345" s="3">
        <v>8.5</v>
      </c>
      <c r="H345" s="12">
        <v>45319</v>
      </c>
      <c r="I345" t="s">
        <v>39</v>
      </c>
      <c r="J345" t="s">
        <v>18</v>
      </c>
      <c r="K345" t="s">
        <v>56</v>
      </c>
      <c r="L345" s="2">
        <v>156200</v>
      </c>
    </row>
    <row r="346" spans="1:12">
      <c r="A346" t="s">
        <v>747</v>
      </c>
      <c r="B346" t="s">
        <v>748</v>
      </c>
      <c r="C346" t="s">
        <v>79</v>
      </c>
      <c r="D346" t="s">
        <v>23</v>
      </c>
      <c r="E346" t="s">
        <v>24</v>
      </c>
      <c r="F346" s="2">
        <v>655000</v>
      </c>
      <c r="G346" s="3">
        <v>7</v>
      </c>
      <c r="H346" s="12">
        <v>45332</v>
      </c>
      <c r="I346" t="s">
        <v>44</v>
      </c>
      <c r="J346" t="s">
        <v>25</v>
      </c>
      <c r="K346" t="s">
        <v>61</v>
      </c>
      <c r="L346" s="2">
        <v>163500</v>
      </c>
    </row>
    <row r="347" spans="1:12">
      <c r="A347" t="s">
        <v>749</v>
      </c>
      <c r="B347" t="s">
        <v>750</v>
      </c>
      <c r="C347" t="s">
        <v>82</v>
      </c>
      <c r="D347" t="s">
        <v>30</v>
      </c>
      <c r="E347" t="s">
        <v>31</v>
      </c>
      <c r="F347" s="2">
        <v>5858000</v>
      </c>
      <c r="G347" s="3">
        <v>7.75</v>
      </c>
      <c r="H347" s="12">
        <v>45345</v>
      </c>
      <c r="I347" t="s">
        <v>44</v>
      </c>
      <c r="J347" t="s">
        <v>32</v>
      </c>
      <c r="K347" t="s">
        <v>55</v>
      </c>
      <c r="L347" s="2">
        <v>170800</v>
      </c>
    </row>
    <row r="348" spans="1:12">
      <c r="A348" t="s">
        <v>751</v>
      </c>
      <c r="B348" t="s">
        <v>752</v>
      </c>
      <c r="C348" t="s">
        <v>85</v>
      </c>
      <c r="D348" t="s">
        <v>37</v>
      </c>
      <c r="E348" t="s">
        <v>38</v>
      </c>
      <c r="F348" s="2">
        <v>2077000</v>
      </c>
      <c r="G348" s="3">
        <v>9.5</v>
      </c>
      <c r="H348" s="12">
        <v>45358</v>
      </c>
      <c r="I348" t="s">
        <v>44</v>
      </c>
      <c r="J348" t="s">
        <v>18</v>
      </c>
      <c r="K348" t="s">
        <v>56</v>
      </c>
      <c r="L348" s="2">
        <v>178100</v>
      </c>
    </row>
    <row r="349" spans="1:12">
      <c r="A349" t="s">
        <v>753</v>
      </c>
      <c r="B349" t="s">
        <v>754</v>
      </c>
      <c r="C349" t="s">
        <v>88</v>
      </c>
      <c r="D349" t="s">
        <v>43</v>
      </c>
      <c r="E349" t="s">
        <v>52</v>
      </c>
      <c r="F349" s="2">
        <v>476000</v>
      </c>
      <c r="G349" s="3">
        <v>12.75</v>
      </c>
      <c r="H349" s="12">
        <v>45371</v>
      </c>
      <c r="I349" t="s">
        <v>17</v>
      </c>
      <c r="J349" t="s">
        <v>25</v>
      </c>
      <c r="K349" t="s">
        <v>61</v>
      </c>
      <c r="L349" s="2">
        <v>185400</v>
      </c>
    </row>
    <row r="350" spans="1:12">
      <c r="A350" t="s">
        <v>755</v>
      </c>
      <c r="B350" t="s">
        <v>756</v>
      </c>
      <c r="C350" t="s">
        <v>91</v>
      </c>
      <c r="D350" t="s">
        <v>48</v>
      </c>
      <c r="E350" t="s">
        <v>16</v>
      </c>
      <c r="F350" s="2">
        <v>1703000</v>
      </c>
      <c r="G350" s="3">
        <v>10.5</v>
      </c>
      <c r="H350" s="12">
        <v>45384</v>
      </c>
      <c r="I350" t="s">
        <v>39</v>
      </c>
      <c r="J350" t="s">
        <v>32</v>
      </c>
      <c r="K350" t="s">
        <v>55</v>
      </c>
      <c r="L350" s="2">
        <v>192700</v>
      </c>
    </row>
    <row r="351" spans="1:12">
      <c r="A351" t="s">
        <v>757</v>
      </c>
      <c r="B351" t="s">
        <v>758</v>
      </c>
      <c r="C351" t="s">
        <v>14</v>
      </c>
      <c r="D351" t="s">
        <v>43</v>
      </c>
      <c r="E351" t="s">
        <v>52</v>
      </c>
      <c r="F351" s="2">
        <v>550000</v>
      </c>
      <c r="G351" s="3">
        <v>12</v>
      </c>
      <c r="H351" s="12">
        <v>45397</v>
      </c>
      <c r="I351" t="s">
        <v>39</v>
      </c>
      <c r="J351" t="s">
        <v>18</v>
      </c>
      <c r="K351" t="s">
        <v>56</v>
      </c>
      <c r="L351" s="2">
        <v>200000</v>
      </c>
    </row>
  </sheetData>
  <autoFilter ref="A1:L35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D64E-A213-498D-B354-0F7C408B37B3}">
  <dimension ref="A1:T34"/>
  <sheetViews>
    <sheetView zoomScale="98" workbookViewId="0">
      <selection activeCell="B31" sqref="B31"/>
    </sheetView>
  </sheetViews>
  <sheetFormatPr defaultRowHeight="14.4"/>
  <cols>
    <col min="1" max="1" width="12.5546875" bestFit="1" customWidth="1"/>
    <col min="2" max="2" width="23.88671875" bestFit="1" customWidth="1"/>
    <col min="3" max="3" width="11.5546875" customWidth="1"/>
    <col min="4" max="4" width="16.109375" bestFit="1" customWidth="1"/>
    <col min="5" max="5" width="15.88671875" bestFit="1" customWidth="1"/>
    <col min="6" max="6" width="8.33203125" bestFit="1" customWidth="1"/>
    <col min="7" max="7" width="4.77734375" bestFit="1" customWidth="1"/>
    <col min="8" max="8" width="11" bestFit="1" customWidth="1"/>
    <col min="9" max="9" width="6.33203125" customWidth="1"/>
    <col min="10" max="10" width="12.77734375" bestFit="1" customWidth="1"/>
    <col min="11" max="11" width="30.33203125" bestFit="1" customWidth="1"/>
    <col min="12" max="12" width="27.109375" bestFit="1" customWidth="1"/>
    <col min="13" max="13" width="9.109375" customWidth="1"/>
    <col min="14" max="14" width="12.77734375" bestFit="1" customWidth="1"/>
    <col min="15" max="15" width="24.33203125" bestFit="1" customWidth="1"/>
    <col min="16" max="16" width="15.77734375" bestFit="1" customWidth="1"/>
    <col min="18" max="18" width="12.77734375" bestFit="1" customWidth="1"/>
    <col min="19" max="19" width="24.33203125" bestFit="1" customWidth="1"/>
    <col min="20" max="20" width="24.88671875" customWidth="1"/>
  </cols>
  <sheetData>
    <row r="1" spans="1:20" ht="15.6">
      <c r="A1" s="14" t="s">
        <v>769</v>
      </c>
      <c r="B1" s="14"/>
      <c r="D1" s="14" t="s">
        <v>770</v>
      </c>
      <c r="E1" s="14"/>
      <c r="F1" s="14"/>
      <c r="G1" s="14"/>
      <c r="H1" s="14"/>
      <c r="J1" s="14" t="s">
        <v>771</v>
      </c>
      <c r="K1" s="14"/>
      <c r="L1" s="14"/>
      <c r="N1" s="14" t="s">
        <v>772</v>
      </c>
      <c r="O1" s="14"/>
      <c r="P1" s="14"/>
      <c r="R1" s="14" t="s">
        <v>773</v>
      </c>
      <c r="S1" s="14"/>
      <c r="T1" s="14"/>
    </row>
    <row r="2" spans="1:20">
      <c r="A2" s="6" t="s">
        <v>759</v>
      </c>
      <c r="B2" s="7" t="s">
        <v>761</v>
      </c>
      <c r="D2" s="6" t="s">
        <v>763</v>
      </c>
      <c r="E2" s="6" t="s">
        <v>762</v>
      </c>
      <c r="F2" s="7"/>
      <c r="G2" s="7"/>
      <c r="H2" s="7"/>
      <c r="J2" s="6" t="s">
        <v>759</v>
      </c>
      <c r="K2" s="7" t="s">
        <v>764</v>
      </c>
      <c r="N2" s="4" t="s">
        <v>8</v>
      </c>
      <c r="O2" t="s">
        <v>17</v>
      </c>
      <c r="R2" s="4" t="s">
        <v>759</v>
      </c>
      <c r="S2" t="s">
        <v>761</v>
      </c>
    </row>
    <row r="3" spans="1:20">
      <c r="A3" s="8" t="s">
        <v>60</v>
      </c>
      <c r="B3" s="9">
        <v>135298000</v>
      </c>
      <c r="D3" s="6" t="s">
        <v>759</v>
      </c>
      <c r="E3" s="7" t="s">
        <v>39</v>
      </c>
      <c r="F3" s="7" t="s">
        <v>17</v>
      </c>
      <c r="G3" s="7" t="s">
        <v>44</v>
      </c>
      <c r="H3" s="7" t="s">
        <v>760</v>
      </c>
      <c r="J3" s="8" t="s">
        <v>60</v>
      </c>
      <c r="K3" s="9">
        <v>234195.91836734695</v>
      </c>
      <c r="R3" s="5" t="s">
        <v>765</v>
      </c>
      <c r="S3" s="2">
        <v>298734000</v>
      </c>
    </row>
    <row r="4" spans="1:20">
      <c r="A4" s="8" t="s">
        <v>30</v>
      </c>
      <c r="B4" s="9">
        <v>131173000</v>
      </c>
      <c r="D4" s="8" t="s">
        <v>60</v>
      </c>
      <c r="E4" s="7">
        <v>14</v>
      </c>
      <c r="F4" s="7">
        <v>17</v>
      </c>
      <c r="G4" s="7">
        <v>18</v>
      </c>
      <c r="H4" s="7">
        <v>49</v>
      </c>
      <c r="J4" s="8" t="s">
        <v>30</v>
      </c>
      <c r="K4" s="9">
        <v>238850</v>
      </c>
      <c r="N4" s="4" t="s">
        <v>759</v>
      </c>
      <c r="O4" t="s">
        <v>761</v>
      </c>
      <c r="R4" s="5" t="s">
        <v>766</v>
      </c>
      <c r="S4" s="2">
        <v>250040000</v>
      </c>
    </row>
    <row r="5" spans="1:20">
      <c r="A5" s="8" t="s">
        <v>23</v>
      </c>
      <c r="B5" s="9">
        <v>128506000</v>
      </c>
      <c r="D5" s="8" t="s">
        <v>30</v>
      </c>
      <c r="E5" s="7">
        <v>16</v>
      </c>
      <c r="F5" s="7">
        <v>17</v>
      </c>
      <c r="G5" s="7">
        <v>17</v>
      </c>
      <c r="H5" s="7">
        <v>50</v>
      </c>
      <c r="J5" s="8" t="s">
        <v>23</v>
      </c>
      <c r="K5" s="9">
        <v>238704</v>
      </c>
      <c r="N5" s="5" t="s">
        <v>37</v>
      </c>
      <c r="O5" s="2">
        <v>48802000</v>
      </c>
      <c r="R5" s="5" t="s">
        <v>767</v>
      </c>
      <c r="S5" s="2">
        <v>220592000</v>
      </c>
    </row>
    <row r="6" spans="1:20">
      <c r="A6" s="8" t="s">
        <v>43</v>
      </c>
      <c r="B6" s="9">
        <v>134473000</v>
      </c>
      <c r="D6" s="8" t="s">
        <v>23</v>
      </c>
      <c r="E6" s="7">
        <v>20</v>
      </c>
      <c r="F6" s="7">
        <v>14</v>
      </c>
      <c r="G6" s="7">
        <v>16</v>
      </c>
      <c r="H6" s="7">
        <v>50</v>
      </c>
      <c r="J6" s="8" t="s">
        <v>43</v>
      </c>
      <c r="K6" s="9">
        <v>238374.50980392157</v>
      </c>
      <c r="N6" s="5" t="s">
        <v>60</v>
      </c>
      <c r="O6" s="2">
        <v>46267000</v>
      </c>
      <c r="R6" s="5" t="s">
        <v>768</v>
      </c>
      <c r="S6" s="2">
        <v>159489000</v>
      </c>
    </row>
    <row r="7" spans="1:20">
      <c r="A7" s="8" t="s">
        <v>48</v>
      </c>
      <c r="B7" s="9">
        <v>132072000</v>
      </c>
      <c r="D7" s="8" t="s">
        <v>43</v>
      </c>
      <c r="E7" s="7">
        <v>19</v>
      </c>
      <c r="F7" s="7">
        <v>13</v>
      </c>
      <c r="G7" s="7">
        <v>19</v>
      </c>
      <c r="H7" s="7">
        <v>51</v>
      </c>
      <c r="J7" s="8" t="s">
        <v>48</v>
      </c>
      <c r="K7" s="9">
        <v>239288</v>
      </c>
      <c r="N7" s="5" t="s">
        <v>23</v>
      </c>
      <c r="O7" s="2">
        <v>38451000</v>
      </c>
      <c r="R7" s="5" t="s">
        <v>760</v>
      </c>
      <c r="S7" s="2">
        <v>928855000</v>
      </c>
    </row>
    <row r="8" spans="1:20">
      <c r="A8" s="8" t="s">
        <v>37</v>
      </c>
      <c r="B8" s="9">
        <v>129912000</v>
      </c>
      <c r="D8" s="8" t="s">
        <v>48</v>
      </c>
      <c r="E8" s="7">
        <v>18</v>
      </c>
      <c r="F8" s="7">
        <v>16</v>
      </c>
      <c r="G8" s="7">
        <v>16</v>
      </c>
      <c r="H8" s="7">
        <v>50</v>
      </c>
      <c r="J8" s="8" t="s">
        <v>37</v>
      </c>
      <c r="K8" s="9">
        <v>230996</v>
      </c>
      <c r="N8" s="5" t="s">
        <v>43</v>
      </c>
      <c r="O8" s="2">
        <v>32632000</v>
      </c>
    </row>
    <row r="9" spans="1:20">
      <c r="A9" s="8" t="s">
        <v>15</v>
      </c>
      <c r="B9" s="9">
        <v>137421000</v>
      </c>
      <c r="D9" s="8" t="s">
        <v>37</v>
      </c>
      <c r="E9" s="7">
        <v>17</v>
      </c>
      <c r="F9" s="7">
        <v>16</v>
      </c>
      <c r="G9" s="7">
        <v>17</v>
      </c>
      <c r="H9" s="7">
        <v>50</v>
      </c>
      <c r="J9" s="8" t="s">
        <v>15</v>
      </c>
      <c r="K9" s="9">
        <v>238558</v>
      </c>
      <c r="N9" s="5" t="s">
        <v>48</v>
      </c>
      <c r="O9" s="2">
        <v>31493000</v>
      </c>
    </row>
    <row r="10" spans="1:20">
      <c r="A10" s="8" t="s">
        <v>760</v>
      </c>
      <c r="B10" s="9">
        <v>928855000</v>
      </c>
      <c r="D10" s="8" t="s">
        <v>15</v>
      </c>
      <c r="E10" s="7">
        <v>17</v>
      </c>
      <c r="F10" s="7">
        <v>14</v>
      </c>
      <c r="G10" s="7">
        <v>19</v>
      </c>
      <c r="H10" s="7">
        <v>50</v>
      </c>
      <c r="N10" s="5" t="s">
        <v>30</v>
      </c>
      <c r="O10" s="2">
        <v>27320000</v>
      </c>
      <c r="R10" s="4" t="s">
        <v>759</v>
      </c>
      <c r="S10" t="s">
        <v>761</v>
      </c>
    </row>
    <row r="11" spans="1:20">
      <c r="D11" s="8" t="s">
        <v>760</v>
      </c>
      <c r="E11" s="7">
        <v>121</v>
      </c>
      <c r="F11" s="7">
        <v>107</v>
      </c>
      <c r="G11" s="7">
        <v>122</v>
      </c>
      <c r="H11" s="7">
        <v>350</v>
      </c>
      <c r="N11" s="5" t="s">
        <v>15</v>
      </c>
      <c r="O11" s="2">
        <v>19041000</v>
      </c>
      <c r="R11" s="5" t="s">
        <v>765</v>
      </c>
      <c r="S11" s="10">
        <v>0.32161532209010019</v>
      </c>
    </row>
    <row r="12" spans="1:20">
      <c r="N12" s="5" t="s">
        <v>760</v>
      </c>
      <c r="O12" s="2">
        <v>244006000</v>
      </c>
      <c r="R12" s="5" t="s">
        <v>766</v>
      </c>
      <c r="S12" s="10">
        <v>0.26919163916865391</v>
      </c>
    </row>
    <row r="13" spans="1:20">
      <c r="N13" s="5"/>
      <c r="O13" s="2"/>
      <c r="R13" s="5" t="s">
        <v>767</v>
      </c>
      <c r="S13" s="10">
        <v>0.23748809017553871</v>
      </c>
    </row>
    <row r="14" spans="1:20" ht="15.6">
      <c r="J14" s="14" t="s">
        <v>774</v>
      </c>
      <c r="K14" s="14"/>
      <c r="L14" s="14"/>
      <c r="M14" s="14"/>
      <c r="N14" s="14"/>
      <c r="R14" s="5" t="s">
        <v>768</v>
      </c>
      <c r="S14" s="10">
        <v>0.17170494856570725</v>
      </c>
    </row>
    <row r="15" spans="1:20">
      <c r="J15" s="6" t="s">
        <v>763</v>
      </c>
      <c r="K15" s="6" t="s">
        <v>762</v>
      </c>
      <c r="L15" s="7"/>
      <c r="M15" s="7"/>
      <c r="N15" s="7"/>
      <c r="R15" s="5" t="s">
        <v>760</v>
      </c>
      <c r="S15" s="10">
        <v>1</v>
      </c>
    </row>
    <row r="16" spans="1:20">
      <c r="J16" s="6" t="s">
        <v>759</v>
      </c>
      <c r="K16" s="11" t="s">
        <v>39</v>
      </c>
      <c r="L16" s="7" t="s">
        <v>17</v>
      </c>
      <c r="M16" s="7" t="s">
        <v>44</v>
      </c>
      <c r="N16" s="7" t="s">
        <v>760</v>
      </c>
    </row>
    <row r="17" spans="1:14">
      <c r="J17" s="8" t="s">
        <v>33</v>
      </c>
      <c r="K17" s="7">
        <v>25</v>
      </c>
      <c r="L17" s="7">
        <v>26</v>
      </c>
      <c r="M17" s="7">
        <v>14</v>
      </c>
      <c r="N17" s="7">
        <v>65</v>
      </c>
    </row>
    <row r="18" spans="1:14">
      <c r="J18" s="8" t="s">
        <v>19</v>
      </c>
      <c r="K18" s="7">
        <v>24</v>
      </c>
      <c r="L18" s="7">
        <v>17</v>
      </c>
      <c r="M18" s="7">
        <v>25</v>
      </c>
      <c r="N18" s="7">
        <v>66</v>
      </c>
    </row>
    <row r="19" spans="1:14">
      <c r="J19" s="8" t="s">
        <v>55</v>
      </c>
      <c r="K19" s="7">
        <v>12</v>
      </c>
      <c r="L19" s="7">
        <v>12</v>
      </c>
      <c r="M19" s="7">
        <v>20</v>
      </c>
      <c r="N19" s="7">
        <v>44</v>
      </c>
    </row>
    <row r="20" spans="1:14">
      <c r="J20" s="8" t="s">
        <v>61</v>
      </c>
      <c r="K20" s="7">
        <v>23</v>
      </c>
      <c r="L20" s="7">
        <v>15</v>
      </c>
      <c r="M20" s="7">
        <v>27</v>
      </c>
      <c r="N20" s="7">
        <v>65</v>
      </c>
    </row>
    <row r="21" spans="1:14">
      <c r="J21" s="8" t="s">
        <v>26</v>
      </c>
      <c r="K21" s="7">
        <v>12</v>
      </c>
      <c r="L21" s="7">
        <v>12</v>
      </c>
      <c r="M21" s="7">
        <v>20</v>
      </c>
      <c r="N21" s="7">
        <v>44</v>
      </c>
    </row>
    <row r="22" spans="1:14">
      <c r="J22" s="8" t="s">
        <v>56</v>
      </c>
      <c r="K22" s="7">
        <v>25</v>
      </c>
      <c r="L22" s="7">
        <v>25</v>
      </c>
      <c r="M22" s="7">
        <v>16</v>
      </c>
      <c r="N22" s="7">
        <v>66</v>
      </c>
    </row>
    <row r="23" spans="1:14">
      <c r="J23" s="8" t="s">
        <v>760</v>
      </c>
      <c r="K23" s="7">
        <v>121</v>
      </c>
      <c r="L23" s="7">
        <v>107</v>
      </c>
      <c r="M23" s="7">
        <v>122</v>
      </c>
      <c r="N23" s="7">
        <v>350</v>
      </c>
    </row>
    <row r="27" spans="1:14" ht="15.6">
      <c r="A27" s="14" t="s">
        <v>775</v>
      </c>
      <c r="B27" s="14"/>
      <c r="C27" s="14"/>
      <c r="D27" s="14"/>
    </row>
    <row r="28" spans="1:14">
      <c r="A28" s="6" t="s">
        <v>761</v>
      </c>
      <c r="B28" s="6" t="s">
        <v>762</v>
      </c>
      <c r="C28" s="7"/>
      <c r="D28" s="7"/>
    </row>
    <row r="29" spans="1:14">
      <c r="A29" s="6" t="s">
        <v>759</v>
      </c>
      <c r="B29" s="7" t="s">
        <v>25</v>
      </c>
      <c r="C29" s="7" t="s">
        <v>32</v>
      </c>
      <c r="D29" s="7" t="s">
        <v>18</v>
      </c>
    </row>
    <row r="30" spans="1:14">
      <c r="A30" s="8" t="s">
        <v>38</v>
      </c>
      <c r="B30" s="11">
        <v>0.33183541865228233</v>
      </c>
      <c r="C30" s="11">
        <v>0.31019406647334374</v>
      </c>
      <c r="D30" s="11">
        <v>0.35797051487437392</v>
      </c>
    </row>
    <row r="31" spans="1:14">
      <c r="A31" s="8" t="s">
        <v>24</v>
      </c>
      <c r="B31" s="11">
        <v>0.34144601943478647</v>
      </c>
      <c r="C31" s="11">
        <v>0.31571721494160648</v>
      </c>
      <c r="D31" s="11">
        <v>0.34283676562360704</v>
      </c>
    </row>
    <row r="32" spans="1:14">
      <c r="A32" s="8" t="s">
        <v>31</v>
      </c>
      <c r="B32" s="11">
        <v>0.31609288592553153</v>
      </c>
      <c r="C32" s="11">
        <v>0.34684834037197931</v>
      </c>
      <c r="D32" s="11">
        <v>0.33705877370248916</v>
      </c>
    </row>
    <row r="33" spans="1:4">
      <c r="A33" s="8" t="s">
        <v>52</v>
      </c>
      <c r="B33" s="11">
        <v>0.32060279636581251</v>
      </c>
      <c r="C33" s="11">
        <v>0.32986235786953921</v>
      </c>
      <c r="D33" s="11">
        <v>0.34953484576464827</v>
      </c>
    </row>
    <row r="34" spans="1:4">
      <c r="A34" s="8" t="s">
        <v>16</v>
      </c>
      <c r="B34" s="11">
        <v>0.36930762561413649</v>
      </c>
      <c r="C34" s="11">
        <v>0.32453655918417901</v>
      </c>
      <c r="D34" s="11">
        <v>0.3061558152016845</v>
      </c>
    </row>
  </sheetData>
  <mergeCells count="7">
    <mergeCell ref="A27:D27"/>
    <mergeCell ref="A1:B1"/>
    <mergeCell ref="J14:N14"/>
    <mergeCell ref="N1:P1"/>
    <mergeCell ref="R1:T1"/>
    <mergeCell ref="D1:H1"/>
    <mergeCell ref="J1:L1"/>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A0BE3-524E-47CB-9558-C4C96229E5E7}">
  <dimension ref="A1"/>
  <sheetViews>
    <sheetView tabSelected="1" zoomScale="74" workbookViewId="0">
      <selection activeCell="L35" sqref="L35"/>
    </sheetView>
  </sheetViews>
  <sheetFormatPr defaultRowHeight="14.4"/>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1D5664-BEA2-43FF-A96C-DABB1042A7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Loan_Data</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Intel</cp:lastModifiedBy>
  <dcterms:created xsi:type="dcterms:W3CDTF">2026-10-17T18:59:37Z</dcterms:created>
  <dcterms:modified xsi:type="dcterms:W3CDTF">2026-10-18T17:16:12Z</dcterms:modified>
</cp:coreProperties>
</file>